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Sô_la_mviê_cNa_y"/>
  <mc:AlternateContent xmlns:mc="http://schemas.openxmlformats.org/markup-compatibility/2006">
    <mc:Choice Requires="x15">
      <x15ac:absPath xmlns:x15ac="http://schemas.microsoft.com/office/spreadsheetml/2010/11/ac" url="https://gmland.sharepoint.com/sites/saleadmin/Shared Documents/SalsAdmin Sharepoint/AD-F03-Tổng hợp dự án/AD-Đất nền Bà Rịa/AD-ĐNBR-Dự án/AD-Sài Gòn Farm Resort/02. GIÁ - CTBH - PHÍ/1. Bảng giá - CTBH - Phí/1. Đang áp dụng/"/>
    </mc:Choice>
  </mc:AlternateContent>
  <xr:revisionPtr revIDLastSave="77" documentId="8_{61A1196D-23AA-41A4-8881-F8649326AE9B}" xr6:coauthVersionLast="47" xr6:coauthVersionMax="47" xr10:uidLastSave="{6CF204DA-E454-4B54-BE87-C7208A86C16A}"/>
  <bookViews>
    <workbookView xWindow="-120" yWindow="-120" windowWidth="21840" windowHeight="13020" xr2:uid="{00000000-000D-0000-FFFF-FFFF00000000}"/>
  </bookViews>
  <sheets>
    <sheet name="Bảng giá" sheetId="10" r:id="rId1"/>
    <sheet name="CSBH" sheetId="13" r:id="rId2"/>
    <sheet name="NHẬP THÔNG TIN" sheetId="18" r:id="rId3"/>
    <sheet name="PHIẾU TÍNH GIÁ_CHỊ QUÝ" sheetId="17" r:id="rId4"/>
    <sheet name="PHIẾU TÍNH GIÁ" sheetId="19" r:id="rId5"/>
  </sheets>
  <externalReferences>
    <externalReference r:id="rId6"/>
  </externalReferences>
  <definedNames>
    <definedName name="_xlnm._FilterDatabase" localSheetId="0" hidden="1">'Bảng giá'!$A$5:$BB$41</definedName>
    <definedName name="_xleta.N" hidden="1" xlm="1">#NAME?</definedName>
    <definedName name="a">#REF!</definedName>
    <definedName name="ai">#REF!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8" i="10" l="1"/>
  <c r="Y9" i="10"/>
  <c r="Y10" i="10"/>
  <c r="Y11" i="10"/>
  <c r="Y12" i="10"/>
  <c r="Y21" i="10"/>
  <c r="Y25" i="10"/>
  <c r="Y28" i="10"/>
  <c r="Y29" i="10"/>
  <c r="Y30" i="10"/>
  <c r="Y35" i="10"/>
  <c r="Y36" i="10"/>
  <c r="Y37" i="10"/>
  <c r="Y41" i="10"/>
  <c r="AA8" i="10"/>
  <c r="AA9" i="10"/>
  <c r="AA10" i="10"/>
  <c r="AA11" i="10"/>
  <c r="AA12" i="10"/>
  <c r="AA21" i="10"/>
  <c r="AA25" i="10"/>
  <c r="AA28" i="10"/>
  <c r="AA29" i="10"/>
  <c r="AA30" i="10"/>
  <c r="AA35" i="10"/>
  <c r="AA36" i="10"/>
  <c r="AA37" i="10"/>
  <c r="AA41" i="10"/>
  <c r="V6" i="10"/>
  <c r="V7" i="10"/>
  <c r="V8" i="10"/>
  <c r="V9" i="10"/>
  <c r="V10" i="10"/>
  <c r="V11" i="10"/>
  <c r="V12" i="10"/>
  <c r="V13" i="10"/>
  <c r="V14" i="10"/>
  <c r="V15" i="10"/>
  <c r="V16" i="10"/>
  <c r="V17" i="10"/>
  <c r="V18" i="10"/>
  <c r="V19" i="10"/>
  <c r="V20" i="10"/>
  <c r="V21" i="10"/>
  <c r="V22" i="10"/>
  <c r="V23" i="10"/>
  <c r="V24" i="10"/>
  <c r="V25" i="10"/>
  <c r="V26" i="10"/>
  <c r="V27" i="10"/>
  <c r="V28" i="10"/>
  <c r="V29" i="10"/>
  <c r="V30" i="10"/>
  <c r="V31" i="10"/>
  <c r="V32" i="10"/>
  <c r="V33" i="10"/>
  <c r="V34" i="10"/>
  <c r="V35" i="10"/>
  <c r="V36" i="10"/>
  <c r="V37" i="10"/>
  <c r="V38" i="10"/>
  <c r="V39" i="10"/>
  <c r="V40" i="10"/>
  <c r="V41" i="10"/>
  <c r="BB8" i="10"/>
  <c r="BB9" i="10"/>
  <c r="BB10" i="10"/>
  <c r="BB11" i="10"/>
  <c r="BB12" i="10"/>
  <c r="BB21" i="10"/>
  <c r="BB25" i="10"/>
  <c r="BB28" i="10"/>
  <c r="BB29" i="10"/>
  <c r="BB30" i="10"/>
  <c r="BB35" i="10"/>
  <c r="BB36" i="10"/>
  <c r="BB37" i="10"/>
  <c r="BB41" i="10"/>
  <c r="BA8" i="10"/>
  <c r="BA9" i="10"/>
  <c r="BA10" i="10"/>
  <c r="BA11" i="10"/>
  <c r="BA12" i="10"/>
  <c r="BA21" i="10"/>
  <c r="BA25" i="10"/>
  <c r="BA28" i="10"/>
  <c r="BA29" i="10"/>
  <c r="BA30" i="10"/>
  <c r="BA35" i="10"/>
  <c r="BA36" i="10"/>
  <c r="BA37" i="10"/>
  <c r="BA41" i="10"/>
  <c r="AZ8" i="10"/>
  <c r="AZ9" i="10"/>
  <c r="AZ10" i="10"/>
  <c r="AZ11" i="10"/>
  <c r="AZ12" i="10"/>
  <c r="AZ21" i="10"/>
  <c r="AZ25" i="10"/>
  <c r="AZ28" i="10"/>
  <c r="AZ29" i="10"/>
  <c r="AZ30" i="10"/>
  <c r="AZ35" i="10"/>
  <c r="AZ36" i="10"/>
  <c r="AZ37" i="10"/>
  <c r="AZ41" i="10"/>
  <c r="AY8" i="10"/>
  <c r="AY9" i="10"/>
  <c r="AY10" i="10"/>
  <c r="AY11" i="10"/>
  <c r="AY12" i="10"/>
  <c r="AY21" i="10"/>
  <c r="AY25" i="10"/>
  <c r="AY28" i="10"/>
  <c r="AY29" i="10"/>
  <c r="AY30" i="10"/>
  <c r="AY35" i="10"/>
  <c r="AY36" i="10"/>
  <c r="AY37" i="10"/>
  <c r="AY41" i="10"/>
  <c r="AV8" i="10"/>
  <c r="AV9" i="10"/>
  <c r="AV10" i="10"/>
  <c r="AV11" i="10"/>
  <c r="AV12" i="10"/>
  <c r="AV21" i="10"/>
  <c r="AV25" i="10"/>
  <c r="AV28" i="10"/>
  <c r="AV29" i="10"/>
  <c r="AV30" i="10"/>
  <c r="AV35" i="10"/>
  <c r="AV36" i="10"/>
  <c r="AV37" i="10"/>
  <c r="AV41" i="10"/>
  <c r="AU8" i="10"/>
  <c r="AU9" i="10"/>
  <c r="AU10" i="10"/>
  <c r="AU11" i="10"/>
  <c r="AU12" i="10"/>
  <c r="AU21" i="10"/>
  <c r="AU25" i="10"/>
  <c r="AU28" i="10"/>
  <c r="AU29" i="10"/>
  <c r="AU30" i="10"/>
  <c r="AU35" i="10"/>
  <c r="AU36" i="10"/>
  <c r="AU37" i="10"/>
  <c r="AU41" i="10"/>
  <c r="AT8" i="10"/>
  <c r="AT9" i="10"/>
  <c r="AT10" i="10"/>
  <c r="AT11" i="10"/>
  <c r="AT12" i="10"/>
  <c r="AT21" i="10"/>
  <c r="AT25" i="10"/>
  <c r="AT28" i="10"/>
  <c r="AT29" i="10"/>
  <c r="AT30" i="10"/>
  <c r="AT35" i="10"/>
  <c r="AT36" i="10"/>
  <c r="AT37" i="10"/>
  <c r="AT41" i="10"/>
  <c r="AS8" i="10"/>
  <c r="AS9" i="10"/>
  <c r="AS10" i="10"/>
  <c r="AS11" i="10"/>
  <c r="AS12" i="10"/>
  <c r="AS21" i="10"/>
  <c r="AS25" i="10"/>
  <c r="AS28" i="10"/>
  <c r="AS29" i="10"/>
  <c r="AS30" i="10"/>
  <c r="AS35" i="10"/>
  <c r="AS36" i="10"/>
  <c r="AS37" i="10"/>
  <c r="AS41" i="10"/>
  <c r="AP8" i="10"/>
  <c r="AP9" i="10"/>
  <c r="AP10" i="10"/>
  <c r="AP11" i="10"/>
  <c r="AP12" i="10"/>
  <c r="AP21" i="10"/>
  <c r="AP25" i="10"/>
  <c r="AP28" i="10"/>
  <c r="AP29" i="10"/>
  <c r="AP30" i="10"/>
  <c r="AP35" i="10"/>
  <c r="AP36" i="10"/>
  <c r="AP37" i="10"/>
  <c r="AP41" i="10"/>
  <c r="AO8" i="10"/>
  <c r="AO9" i="10"/>
  <c r="AO10" i="10"/>
  <c r="AO11" i="10"/>
  <c r="AO12" i="10"/>
  <c r="AO21" i="10"/>
  <c r="AO25" i="10"/>
  <c r="AO28" i="10"/>
  <c r="AO29" i="10"/>
  <c r="AO30" i="10"/>
  <c r="AO35" i="10"/>
  <c r="AO36" i="10"/>
  <c r="AO37" i="10"/>
  <c r="AO41" i="10"/>
  <c r="AN8" i="10"/>
  <c r="AN9" i="10"/>
  <c r="AN10" i="10"/>
  <c r="AN11" i="10"/>
  <c r="AN12" i="10"/>
  <c r="AN21" i="10"/>
  <c r="AN25" i="10"/>
  <c r="AN28" i="10"/>
  <c r="AN29" i="10"/>
  <c r="AN30" i="10"/>
  <c r="AN35" i="10"/>
  <c r="AN36" i="10"/>
  <c r="AN37" i="10"/>
  <c r="AN41" i="10"/>
  <c r="AM8" i="10"/>
  <c r="AM9" i="10"/>
  <c r="AM10" i="10"/>
  <c r="AM11" i="10"/>
  <c r="AM12" i="10"/>
  <c r="AM21" i="10"/>
  <c r="AM25" i="10"/>
  <c r="AM28" i="10"/>
  <c r="AM29" i="10"/>
  <c r="AM30" i="10"/>
  <c r="AM35" i="10"/>
  <c r="AM36" i="10"/>
  <c r="AM37" i="10"/>
  <c r="AM41" i="10"/>
  <c r="AJ8" i="10"/>
  <c r="AJ9" i="10"/>
  <c r="AJ10" i="10"/>
  <c r="AJ11" i="10"/>
  <c r="AJ12" i="10"/>
  <c r="AJ21" i="10"/>
  <c r="AJ25" i="10"/>
  <c r="AJ28" i="10"/>
  <c r="AJ29" i="10"/>
  <c r="AJ30" i="10"/>
  <c r="AJ35" i="10"/>
  <c r="AJ36" i="10"/>
  <c r="AJ37" i="10"/>
  <c r="AJ41" i="10"/>
  <c r="AI8" i="10"/>
  <c r="AI9" i="10"/>
  <c r="AI10" i="10"/>
  <c r="AI11" i="10"/>
  <c r="AI12" i="10"/>
  <c r="AI21" i="10"/>
  <c r="AI25" i="10"/>
  <c r="AI28" i="10"/>
  <c r="AI29" i="10"/>
  <c r="AI30" i="10"/>
  <c r="AI35" i="10"/>
  <c r="AI36" i="10"/>
  <c r="AI37" i="10"/>
  <c r="AI41" i="10"/>
  <c r="AH8" i="10"/>
  <c r="AH9" i="10"/>
  <c r="AH10" i="10"/>
  <c r="AH11" i="10"/>
  <c r="AH12" i="10"/>
  <c r="AH21" i="10"/>
  <c r="AH25" i="10"/>
  <c r="AH28" i="10"/>
  <c r="AH29" i="10"/>
  <c r="AH30" i="10"/>
  <c r="AH35" i="10"/>
  <c r="AH36" i="10"/>
  <c r="AH37" i="10"/>
  <c r="AH41" i="10"/>
  <c r="AG8" i="10"/>
  <c r="AG9" i="10"/>
  <c r="AG10" i="10"/>
  <c r="AG11" i="10"/>
  <c r="AG12" i="10"/>
  <c r="AG21" i="10"/>
  <c r="AG25" i="10"/>
  <c r="AG28" i="10"/>
  <c r="AG29" i="10"/>
  <c r="AG30" i="10"/>
  <c r="AG35" i="10"/>
  <c r="AG36" i="10"/>
  <c r="AG37" i="10"/>
  <c r="AG41" i="10"/>
  <c r="AB8" i="10"/>
  <c r="AB9" i="10"/>
  <c r="AB10" i="10"/>
  <c r="AB11" i="10"/>
  <c r="AB12" i="10"/>
  <c r="AB21" i="10"/>
  <c r="AB25" i="10"/>
  <c r="AB28" i="10"/>
  <c r="AB29" i="10"/>
  <c r="AB30" i="10"/>
  <c r="AB35" i="10"/>
  <c r="AB36" i="10"/>
  <c r="AB37" i="10"/>
  <c r="AB41" i="10"/>
  <c r="Z8" i="10"/>
  <c r="Z9" i="10"/>
  <c r="Z10" i="10"/>
  <c r="Z11" i="10"/>
  <c r="Z12" i="10"/>
  <c r="Z21" i="10"/>
  <c r="Z25" i="10"/>
  <c r="Z28" i="10"/>
  <c r="Z29" i="10"/>
  <c r="Z30" i="10"/>
  <c r="Z35" i="10"/>
  <c r="Z36" i="10"/>
  <c r="Z37" i="10"/>
  <c r="Z41" i="10"/>
  <c r="U7" i="10" l="1"/>
  <c r="W7" i="10" s="1"/>
  <c r="X7" i="10" s="1"/>
  <c r="U8" i="10"/>
  <c r="W8" i="10" s="1"/>
  <c r="X8" i="10" s="1"/>
  <c r="U9" i="10"/>
  <c r="W9" i="10" s="1"/>
  <c r="X9" i="10" s="1"/>
  <c r="U10" i="10"/>
  <c r="W10" i="10" s="1"/>
  <c r="X10" i="10" s="1"/>
  <c r="U11" i="10"/>
  <c r="W11" i="10" s="1"/>
  <c r="X11" i="10" s="1"/>
  <c r="U12" i="10"/>
  <c r="W12" i="10" s="1"/>
  <c r="X12" i="10" s="1"/>
  <c r="U13" i="10"/>
  <c r="W13" i="10" s="1"/>
  <c r="X13" i="10" s="1"/>
  <c r="U14" i="10"/>
  <c r="W14" i="10" s="1"/>
  <c r="X14" i="10" s="1"/>
  <c r="U15" i="10"/>
  <c r="W15" i="10" s="1"/>
  <c r="X15" i="10" s="1"/>
  <c r="U16" i="10"/>
  <c r="W16" i="10" s="1"/>
  <c r="X16" i="10" s="1"/>
  <c r="U17" i="10"/>
  <c r="W17" i="10" s="1"/>
  <c r="X17" i="10" s="1"/>
  <c r="U18" i="10"/>
  <c r="W18" i="10" s="1"/>
  <c r="X18" i="10" s="1"/>
  <c r="U19" i="10"/>
  <c r="W19" i="10" s="1"/>
  <c r="X19" i="10" s="1"/>
  <c r="U20" i="10"/>
  <c r="W20" i="10" s="1"/>
  <c r="X20" i="10" s="1"/>
  <c r="U21" i="10"/>
  <c r="W21" i="10" s="1"/>
  <c r="X21" i="10" s="1"/>
  <c r="U22" i="10"/>
  <c r="W22" i="10" s="1"/>
  <c r="X22" i="10" s="1"/>
  <c r="U23" i="10"/>
  <c r="W23" i="10" s="1"/>
  <c r="X23" i="10" s="1"/>
  <c r="U24" i="10"/>
  <c r="W24" i="10" s="1"/>
  <c r="X24" i="10" s="1"/>
  <c r="U25" i="10"/>
  <c r="W25" i="10" s="1"/>
  <c r="X25" i="10" s="1"/>
  <c r="U26" i="10"/>
  <c r="W26" i="10" s="1"/>
  <c r="X26" i="10" s="1"/>
  <c r="U27" i="10"/>
  <c r="W27" i="10" s="1"/>
  <c r="X27" i="10" s="1"/>
  <c r="U28" i="10"/>
  <c r="W28" i="10" s="1"/>
  <c r="X28" i="10" s="1"/>
  <c r="U29" i="10"/>
  <c r="W29" i="10" s="1"/>
  <c r="X29" i="10" s="1"/>
  <c r="U30" i="10"/>
  <c r="W30" i="10" s="1"/>
  <c r="X30" i="10" s="1"/>
  <c r="U31" i="10"/>
  <c r="W31" i="10" s="1"/>
  <c r="X31" i="10" s="1"/>
  <c r="U32" i="10"/>
  <c r="W32" i="10" s="1"/>
  <c r="X32" i="10" s="1"/>
  <c r="U33" i="10"/>
  <c r="W33" i="10" s="1"/>
  <c r="X33" i="10" s="1"/>
  <c r="U34" i="10"/>
  <c r="W34" i="10" s="1"/>
  <c r="X34" i="10" s="1"/>
  <c r="U35" i="10"/>
  <c r="W35" i="10" s="1"/>
  <c r="X35" i="10" s="1"/>
  <c r="U36" i="10"/>
  <c r="W36" i="10" s="1"/>
  <c r="X36" i="10" s="1"/>
  <c r="U37" i="10"/>
  <c r="W37" i="10" s="1"/>
  <c r="X37" i="10" s="1"/>
  <c r="U38" i="10"/>
  <c r="W38" i="10" s="1"/>
  <c r="X38" i="10" s="1"/>
  <c r="U39" i="10"/>
  <c r="W39" i="10" s="1"/>
  <c r="X39" i="10" s="1"/>
  <c r="U40" i="10"/>
  <c r="W40" i="10" s="1"/>
  <c r="X40" i="10" s="1"/>
  <c r="U41" i="10"/>
  <c r="W41" i="10" s="1"/>
  <c r="X41" i="10" s="1"/>
  <c r="U6" i="10"/>
  <c r="W6" i="10" s="1"/>
  <c r="W5" i="10" l="1"/>
  <c r="X6" i="10"/>
  <c r="X5" i="10" s="1"/>
  <c r="A105" i="13" l="1"/>
  <c r="A130" i="13" s="1"/>
  <c r="D99" i="13"/>
  <c r="B99" i="13"/>
  <c r="C103" i="13"/>
  <c r="A97" i="13"/>
  <c r="A123" i="13" s="1"/>
  <c r="C95" i="13"/>
  <c r="A88" i="13"/>
  <c r="A116" i="13" s="1"/>
  <c r="C53" i="13"/>
  <c r="B35" i="13"/>
  <c r="B26" i="13"/>
  <c r="B34" i="13" s="1"/>
  <c r="C20" i="13"/>
  <c r="G10" i="19"/>
  <c r="G9" i="19"/>
  <c r="C9" i="19"/>
  <c r="G16" i="19" l="1"/>
  <c r="F20" i="19"/>
  <c r="H22" i="19"/>
  <c r="H21" i="19"/>
  <c r="E22" i="19"/>
  <c r="B22" i="19"/>
  <c r="A22" i="19"/>
  <c r="E26" i="19"/>
  <c r="E25" i="19"/>
  <c r="E24" i="19"/>
  <c r="E23" i="19"/>
  <c r="E21" i="19"/>
  <c r="H20" i="19"/>
  <c r="B26" i="19"/>
  <c r="B25" i="19"/>
  <c r="B24" i="19"/>
  <c r="B23" i="19"/>
  <c r="B21" i="19"/>
  <c r="A26" i="19"/>
  <c r="A25" i="19"/>
  <c r="A24" i="19"/>
  <c r="A23" i="19"/>
  <c r="A21" i="19"/>
  <c r="B20" i="19"/>
  <c r="H26" i="19"/>
  <c r="G3" i="19"/>
  <c r="D21" i="19" s="1"/>
  <c r="D24" i="19" s="1"/>
  <c r="C3" i="19"/>
  <c r="E27" i="19" l="1"/>
  <c r="D26" i="19"/>
  <c r="D25" i="19"/>
  <c r="D23" i="19"/>
  <c r="D22" i="19"/>
  <c r="D20" i="19"/>
  <c r="C12" i="17" l="1"/>
  <c r="C28" i="13"/>
  <c r="C43" i="13"/>
  <c r="C36" i="13"/>
  <c r="D53" i="17" a="1"/>
  <c r="D50" i="17" a="1"/>
  <c r="D52" i="17" a="1"/>
  <c r="D51" i="17" a="1"/>
  <c r="D49" i="17" a="1"/>
  <c r="D48" i="17" a="1"/>
  <c r="D47" i="17" a="1"/>
  <c r="F45" i="17" a="1"/>
  <c r="F26" i="17"/>
  <c r="H26" i="17" s="1"/>
  <c r="D17" i="17" l="1"/>
  <c r="F17" i="17" s="1"/>
  <c r="H17" i="17" s="1"/>
  <c r="F14" i="17"/>
  <c r="H14" i="17" s="1"/>
  <c r="F15" i="17"/>
  <c r="H15" i="17" s="1"/>
  <c r="D15" i="17" l="1"/>
  <c r="C7" i="17"/>
  <c r="G7" i="17"/>
  <c r="A7" i="17"/>
  <c r="D3" i="18"/>
  <c r="F7" i="17" s="1"/>
  <c r="C45" i="17" s="1"/>
  <c r="C47" i="17" s="1"/>
  <c r="C48" i="17" s="1"/>
  <c r="D12" i="17" l="1"/>
  <c r="E12" i="17"/>
  <c r="F12" i="17" s="1"/>
  <c r="H12" i="17" s="1"/>
  <c r="D14" i="17" l="1"/>
  <c r="C26" i="17"/>
  <c r="C28" i="17" l="1"/>
  <c r="C29" i="17" l="1"/>
  <c r="C30" i="17" s="1"/>
  <c r="C31" i="17" l="1"/>
  <c r="C34" i="17"/>
  <c r="C35" i="17" l="1"/>
  <c r="C36" i="17" s="1"/>
  <c r="C37" i="17" s="1"/>
  <c r="C38" i="17" s="1"/>
  <c r="C49" i="17"/>
  <c r="C50" i="17" s="1"/>
  <c r="C51" i="17" s="1"/>
  <c r="C52" i="17" s="1"/>
  <c r="C53" i="17" s="1"/>
  <c r="C32" i="17"/>
  <c r="C33" i="17" l="1"/>
  <c r="L41" i="10" l="1"/>
  <c r="L30" i="10"/>
  <c r="L28" i="10"/>
  <c r="L25" i="10"/>
  <c r="L17" i="10"/>
  <c r="L16" i="10"/>
  <c r="M7" i="10" l="1"/>
  <c r="M8" i="10"/>
  <c r="M9" i="10"/>
  <c r="M10" i="10"/>
  <c r="M11" i="10"/>
  <c r="M12" i="10"/>
  <c r="M13" i="10"/>
  <c r="T13" i="10" s="1"/>
  <c r="M14" i="10"/>
  <c r="T14" i="10" s="1"/>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6" i="10"/>
  <c r="T6" i="10" s="1"/>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6" i="10"/>
  <c r="Z13" i="10" l="1"/>
  <c r="Y13" i="10" s="1"/>
  <c r="AX13" i="10"/>
  <c r="AF13" i="10"/>
  <c r="AB13" i="10"/>
  <c r="AA13" i="10" s="1"/>
  <c r="AX14" i="10"/>
  <c r="AF14" i="10"/>
  <c r="AB14" i="10"/>
  <c r="AA14" i="10" s="1"/>
  <c r="Z14" i="10"/>
  <c r="Y14" i="10" s="1"/>
  <c r="AB6" i="10"/>
  <c r="AA6" i="10" s="1"/>
  <c r="Z6" i="10"/>
  <c r="Y6" i="10" s="1"/>
  <c r="AF6" i="10"/>
  <c r="AL6" i="10"/>
  <c r="AR6" i="10"/>
  <c r="AX6" i="10"/>
  <c r="T22" i="10"/>
  <c r="T37" i="10"/>
  <c r="T21" i="10"/>
  <c r="T28" i="10"/>
  <c r="T41" i="10"/>
  <c r="T33" i="10"/>
  <c r="T25" i="10"/>
  <c r="T17" i="10"/>
  <c r="T9" i="10"/>
  <c r="T30" i="10"/>
  <c r="T20" i="10"/>
  <c r="T27" i="10"/>
  <c r="T40" i="10"/>
  <c r="T24" i="10"/>
  <c r="T16" i="10"/>
  <c r="T8" i="10"/>
  <c r="T38" i="10"/>
  <c r="T29" i="10"/>
  <c r="T36" i="10"/>
  <c r="T12" i="10"/>
  <c r="T35" i="10"/>
  <c r="T19" i="10"/>
  <c r="T11" i="10"/>
  <c r="T34" i="10"/>
  <c r="T26" i="10"/>
  <c r="T18" i="10"/>
  <c r="T10" i="10"/>
  <c r="T32" i="10"/>
  <c r="T31" i="10"/>
  <c r="T23" i="10"/>
  <c r="T15" i="10"/>
  <c r="T7" i="10"/>
  <c r="AN6" i="10" l="1"/>
  <c r="AM6" i="10" s="1"/>
  <c r="AK6" i="10"/>
  <c r="AP6" i="10"/>
  <c r="AO6" i="10" s="1"/>
  <c r="AF30" i="10"/>
  <c r="AX30" i="10"/>
  <c r="AX9" i="10"/>
  <c r="AF9" i="10"/>
  <c r="AX12" i="10"/>
  <c r="AF12" i="10"/>
  <c r="AX36" i="10"/>
  <c r="AF36" i="10"/>
  <c r="AE36" i="10" s="1"/>
  <c r="AX38" i="10"/>
  <c r="AF38" i="10"/>
  <c r="AB38" i="10"/>
  <c r="AA38" i="10" s="1"/>
  <c r="Z38" i="10"/>
  <c r="Y38" i="10" s="1"/>
  <c r="AB16" i="10"/>
  <c r="AA16" i="10" s="1"/>
  <c r="Z16" i="10"/>
  <c r="Y16" i="10" s="1"/>
  <c r="AX16" i="10"/>
  <c r="AF16" i="10"/>
  <c r="AB19" i="10"/>
  <c r="AA19" i="10" s="1"/>
  <c r="Z19" i="10"/>
  <c r="Y19" i="10" s="1"/>
  <c r="AX19" i="10"/>
  <c r="AF19" i="10"/>
  <c r="AE19" i="10" s="1"/>
  <c r="AE6" i="10"/>
  <c r="AJ6" i="10"/>
  <c r="AI6" i="10" s="1"/>
  <c r="AH6" i="10"/>
  <c r="AG6" i="10" s="1"/>
  <c r="AX7" i="10"/>
  <c r="AB7" i="10"/>
  <c r="AA7" i="10" s="1"/>
  <c r="Z7" i="10"/>
  <c r="Y7" i="10" s="1"/>
  <c r="AF7" i="10"/>
  <c r="AX25" i="10"/>
  <c r="AF25" i="10"/>
  <c r="AX23" i="10"/>
  <c r="AF23" i="10"/>
  <c r="AB23" i="10"/>
  <c r="AA23" i="10" s="1"/>
  <c r="Z23" i="10"/>
  <c r="Y23" i="10" s="1"/>
  <c r="AX29" i="10"/>
  <c r="AF29" i="10"/>
  <c r="AX33" i="10"/>
  <c r="AF33" i="10"/>
  <c r="AB33" i="10"/>
  <c r="AA33" i="10" s="1"/>
  <c r="Z33" i="10"/>
  <c r="Y33" i="10" s="1"/>
  <c r="AB31" i="10"/>
  <c r="AA31" i="10" s="1"/>
  <c r="Z31" i="10"/>
  <c r="Y31" i="10" s="1"/>
  <c r="AX31" i="10"/>
  <c r="AF31" i="10"/>
  <c r="AE31" i="10" s="1"/>
  <c r="AX41" i="10"/>
  <c r="AF41" i="10"/>
  <c r="AF32" i="10"/>
  <c r="AB32" i="10"/>
  <c r="AA32" i="10" s="1"/>
  <c r="Z32" i="10"/>
  <c r="Y32" i="10" s="1"/>
  <c r="AX32" i="10"/>
  <c r="AF8" i="10"/>
  <c r="AX8" i="10"/>
  <c r="AX28" i="10"/>
  <c r="AF28" i="10"/>
  <c r="AE28" i="10" s="1"/>
  <c r="AH14" i="10"/>
  <c r="AG14" i="10" s="1"/>
  <c r="AJ14" i="10"/>
  <c r="AI14" i="10" s="1"/>
  <c r="AX10" i="10"/>
  <c r="AF10" i="10"/>
  <c r="AX21" i="10"/>
  <c r="AF21" i="10"/>
  <c r="AZ14" i="10"/>
  <c r="AY14" i="10" s="1"/>
  <c r="BB14" i="10"/>
  <c r="BA14" i="10" s="1"/>
  <c r="AF18" i="10"/>
  <c r="AE18" i="10" s="1"/>
  <c r="AB18" i="10"/>
  <c r="AA18" i="10" s="1"/>
  <c r="Z18" i="10"/>
  <c r="Y18" i="10" s="1"/>
  <c r="AX18" i="10"/>
  <c r="AX24" i="10"/>
  <c r="AF24" i="10"/>
  <c r="AE24" i="10" s="1"/>
  <c r="AB24" i="10"/>
  <c r="AA24" i="10" s="1"/>
  <c r="Z24" i="10"/>
  <c r="Y24" i="10" s="1"/>
  <c r="AX37" i="10"/>
  <c r="AF37" i="10"/>
  <c r="AX26" i="10"/>
  <c r="AF26" i="10"/>
  <c r="AB26" i="10"/>
  <c r="AA26" i="10" s="1"/>
  <c r="Z26" i="10"/>
  <c r="Y26" i="10" s="1"/>
  <c r="AB40" i="10"/>
  <c r="AA40" i="10" s="1"/>
  <c r="Z40" i="10"/>
  <c r="Y40" i="10" s="1"/>
  <c r="AX40" i="10"/>
  <c r="AF40" i="10"/>
  <c r="AE40" i="10" s="1"/>
  <c r="AX22" i="10"/>
  <c r="AF22" i="10"/>
  <c r="AB22" i="10"/>
  <c r="AA22" i="10" s="1"/>
  <c r="Z22" i="10"/>
  <c r="Y22" i="10" s="1"/>
  <c r="AJ13" i="10"/>
  <c r="AI13" i="10" s="1"/>
  <c r="AH13" i="10"/>
  <c r="AG13" i="10" s="1"/>
  <c r="AB27" i="10"/>
  <c r="AA27" i="10" s="1"/>
  <c r="Z27" i="10"/>
  <c r="Y27" i="10" s="1"/>
  <c r="AX27" i="10"/>
  <c r="AF27" i="10"/>
  <c r="AZ13" i="10"/>
  <c r="AY13" i="10" s="1"/>
  <c r="BB13" i="10"/>
  <c r="BA13" i="10" s="1"/>
  <c r="AX35" i="10"/>
  <c r="AF35" i="10"/>
  <c r="AB17" i="10"/>
  <c r="AA17" i="10" s="1"/>
  <c r="Z17" i="10"/>
  <c r="Y17" i="10" s="1"/>
  <c r="AX17" i="10"/>
  <c r="AF17" i="10"/>
  <c r="AB15" i="10"/>
  <c r="AA15" i="10" s="1"/>
  <c r="Z15" i="10"/>
  <c r="Y15" i="10" s="1"/>
  <c r="AX15" i="10"/>
  <c r="AF15" i="10"/>
  <c r="AE15" i="10" s="1"/>
  <c r="AX34" i="10"/>
  <c r="AF34" i="10"/>
  <c r="AE34" i="10" s="1"/>
  <c r="AB34" i="10"/>
  <c r="AA34" i="10" s="1"/>
  <c r="Z34" i="10"/>
  <c r="Y34" i="10" s="1"/>
  <c r="AW6" i="10"/>
  <c r="AZ6" i="10"/>
  <c r="AY6" i="10" s="1"/>
  <c r="BB6" i="10"/>
  <c r="BA6" i="10" s="1"/>
  <c r="AX11" i="10"/>
  <c r="AF11" i="10"/>
  <c r="AF20" i="10"/>
  <c r="AB20" i="10"/>
  <c r="AA20" i="10" s="1"/>
  <c r="Z20" i="10"/>
  <c r="Y20" i="10" s="1"/>
  <c r="AX20" i="10"/>
  <c r="AT6" i="10"/>
  <c r="AS6" i="10" s="1"/>
  <c r="AV6" i="10"/>
  <c r="AU6" i="10" s="1"/>
  <c r="AQ6" i="10"/>
  <c r="AR25" i="10"/>
  <c r="AR28" i="10"/>
  <c r="AR19" i="10"/>
  <c r="AR7" i="10"/>
  <c r="AR16" i="10"/>
  <c r="AR20" i="10"/>
  <c r="AR35" i="10"/>
  <c r="AR18" i="10"/>
  <c r="AR24" i="10"/>
  <c r="AR36" i="10"/>
  <c r="AR31" i="10"/>
  <c r="AR29" i="10"/>
  <c r="AR17" i="10"/>
  <c r="AR14" i="10"/>
  <c r="AL15" i="10"/>
  <c r="AR15" i="10"/>
  <c r="AL26" i="10"/>
  <c r="AR26" i="10"/>
  <c r="AL13" i="10"/>
  <c r="AR13" i="10"/>
  <c r="AL21" i="10"/>
  <c r="AR21" i="10"/>
  <c r="AL34" i="10"/>
  <c r="AR34" i="10"/>
  <c r="AL38" i="10"/>
  <c r="AR38" i="10"/>
  <c r="AL23" i="10"/>
  <c r="AR23" i="10"/>
  <c r="AL8" i="10"/>
  <c r="AR8" i="10"/>
  <c r="AL22" i="10"/>
  <c r="AR22" i="10"/>
  <c r="AL32" i="10"/>
  <c r="AR32" i="10"/>
  <c r="AL12" i="10"/>
  <c r="AR12" i="10"/>
  <c r="AL40" i="10"/>
  <c r="AR40" i="10"/>
  <c r="AL33" i="10"/>
  <c r="AR33" i="10"/>
  <c r="AL30" i="10"/>
  <c r="AR30" i="10"/>
  <c r="AL10" i="10"/>
  <c r="AR10" i="10"/>
  <c r="AL27" i="10"/>
  <c r="AR27" i="10"/>
  <c r="AL41" i="10"/>
  <c r="AR41" i="10"/>
  <c r="AL37" i="10"/>
  <c r="AR37" i="10"/>
  <c r="AL11" i="10"/>
  <c r="AR11" i="10"/>
  <c r="AR9" i="10"/>
  <c r="AL28" i="10"/>
  <c r="AL7" i="10"/>
  <c r="AL35" i="10"/>
  <c r="AL24" i="10"/>
  <c r="AE25" i="10"/>
  <c r="AL25" i="10"/>
  <c r="AL18" i="10"/>
  <c r="AL20" i="10"/>
  <c r="AL14" i="10"/>
  <c r="AL36" i="10"/>
  <c r="AL9" i="10"/>
  <c r="AE29" i="10"/>
  <c r="AL29" i="10"/>
  <c r="AL31" i="10"/>
  <c r="AL19" i="10"/>
  <c r="AL16" i="10"/>
  <c r="AL17" i="10"/>
  <c r="AE13" i="10"/>
  <c r="AT31" i="10" l="1"/>
  <c r="AS31" i="10" s="1"/>
  <c r="AV31" i="10"/>
  <c r="AU31" i="10" s="1"/>
  <c r="AN32" i="10"/>
  <c r="AM32" i="10" s="1"/>
  <c r="AP32" i="10"/>
  <c r="AO32" i="10" s="1"/>
  <c r="AT34" i="10"/>
  <c r="AS34" i="10" s="1"/>
  <c r="AV34" i="10"/>
  <c r="AU34" i="10" s="1"/>
  <c r="AJ22" i="10"/>
  <c r="AI22" i="10" s="1"/>
  <c r="AH22" i="10"/>
  <c r="AG22" i="10" s="1"/>
  <c r="AZ38" i="10"/>
  <c r="AY38" i="10" s="1"/>
  <c r="BB38" i="10"/>
  <c r="BA38" i="10" s="1"/>
  <c r="AH23" i="10"/>
  <c r="AG23" i="10" s="1"/>
  <c r="AJ23" i="10"/>
  <c r="AI23" i="10" s="1"/>
  <c r="AN27" i="10"/>
  <c r="AM27" i="10" s="1"/>
  <c r="AP27" i="10"/>
  <c r="AO27" i="10" s="1"/>
  <c r="AZ40" i="10"/>
  <c r="AY40" i="10" s="1"/>
  <c r="BB40" i="10"/>
  <c r="BA40" i="10" s="1"/>
  <c r="AT22" i="10"/>
  <c r="AS22" i="10" s="1"/>
  <c r="AV22" i="10"/>
  <c r="AU22" i="10" s="1"/>
  <c r="AT13" i="10"/>
  <c r="AS13" i="10" s="1"/>
  <c r="AV13" i="10"/>
  <c r="AU13" i="10" s="1"/>
  <c r="AT18" i="10"/>
  <c r="AS18" i="10" s="1"/>
  <c r="AV18" i="10"/>
  <c r="AU18" i="10" s="1"/>
  <c r="AJ15" i="10"/>
  <c r="AI15" i="10" s="1"/>
  <c r="AH15" i="10"/>
  <c r="AG15" i="10" s="1"/>
  <c r="AJ27" i="10"/>
  <c r="AI27" i="10" s="1"/>
  <c r="AH27" i="10"/>
  <c r="AG27" i="10" s="1"/>
  <c r="AZ18" i="10"/>
  <c r="AY18" i="10" s="1"/>
  <c r="BB18" i="10"/>
  <c r="BA18" i="10" s="1"/>
  <c r="AP7" i="10"/>
  <c r="AO7" i="10" s="1"/>
  <c r="AN7" i="10"/>
  <c r="AM7" i="10" s="1"/>
  <c r="AP22" i="10"/>
  <c r="AO22" i="10" s="1"/>
  <c r="AN22" i="10"/>
  <c r="AM22" i="10" s="1"/>
  <c r="AN13" i="10"/>
  <c r="AM13" i="10" s="1"/>
  <c r="AP13" i="10"/>
  <c r="AO13" i="10" s="1"/>
  <c r="AZ15" i="10"/>
  <c r="AY15" i="10" s="1"/>
  <c r="BB15" i="10"/>
  <c r="BA15" i="10" s="1"/>
  <c r="AZ27" i="10"/>
  <c r="AY27" i="10" s="1"/>
  <c r="BB27" i="10"/>
  <c r="BA27" i="10" s="1"/>
  <c r="AH16" i="10"/>
  <c r="AG16" i="10" s="1"/>
  <c r="AJ16" i="10"/>
  <c r="AI16" i="10" s="1"/>
  <c r="AJ24" i="10"/>
  <c r="AI24" i="10" s="1"/>
  <c r="AH24" i="10"/>
  <c r="AG24" i="10" s="1"/>
  <c r="AH31" i="10"/>
  <c r="AG31" i="10" s="1"/>
  <c r="AJ31" i="10"/>
  <c r="AI31" i="10" s="1"/>
  <c r="AZ20" i="10"/>
  <c r="AY20" i="10" s="1"/>
  <c r="BB20" i="10"/>
  <c r="BA20" i="10" s="1"/>
  <c r="AZ23" i="10"/>
  <c r="AY23" i="10" s="1"/>
  <c r="BB23" i="10"/>
  <c r="BA23" i="10" s="1"/>
  <c r="AN14" i="10"/>
  <c r="AM14" i="10" s="1"/>
  <c r="AP14" i="10"/>
  <c r="AO14" i="10" s="1"/>
  <c r="AT16" i="10"/>
  <c r="AS16" i="10" s="1"/>
  <c r="AV16" i="10"/>
  <c r="AU16" i="10" s="1"/>
  <c r="AH18" i="10"/>
  <c r="AG18" i="10" s="1"/>
  <c r="AJ18" i="10"/>
  <c r="AI18" i="10" s="1"/>
  <c r="AN31" i="10"/>
  <c r="AM31" i="10" s="1"/>
  <c r="AP31" i="10"/>
  <c r="AO31" i="10" s="1"/>
  <c r="AH19" i="10"/>
  <c r="AG19" i="10" s="1"/>
  <c r="AJ19" i="10"/>
  <c r="AI19" i="10" s="1"/>
  <c r="AT32" i="10"/>
  <c r="AS32" i="10" s="1"/>
  <c r="AV32" i="10"/>
  <c r="AU32" i="10" s="1"/>
  <c r="AH40" i="10"/>
  <c r="AG40" i="10" s="1"/>
  <c r="AJ40" i="10"/>
  <c r="AI40" i="10" s="1"/>
  <c r="BB19" i="10"/>
  <c r="BA19" i="10" s="1"/>
  <c r="AZ19" i="10"/>
  <c r="AY19" i="10" s="1"/>
  <c r="AZ34" i="10"/>
  <c r="AY34" i="10" s="1"/>
  <c r="BB34" i="10"/>
  <c r="BA34" i="10" s="1"/>
  <c r="AZ24" i="10"/>
  <c r="AY24" i="10" s="1"/>
  <c r="BB24" i="10"/>
  <c r="BA24" i="10" s="1"/>
  <c r="AT26" i="10"/>
  <c r="AS26" i="10" s="1"/>
  <c r="AV26" i="10"/>
  <c r="AU26" i="10" s="1"/>
  <c r="AH20" i="10"/>
  <c r="AG20" i="10" s="1"/>
  <c r="AJ20" i="10"/>
  <c r="AI20" i="10" s="1"/>
  <c r="AN26" i="10"/>
  <c r="AM26" i="10" s="1"/>
  <c r="AP26" i="10"/>
  <c r="AO26" i="10" s="1"/>
  <c r="AN20" i="10"/>
  <c r="AM20" i="10" s="1"/>
  <c r="AP20" i="10"/>
  <c r="AO20" i="10" s="1"/>
  <c r="AV33" i="10"/>
  <c r="AU33" i="10" s="1"/>
  <c r="AT33" i="10"/>
  <c r="AS33" i="10" s="1"/>
  <c r="AT23" i="10"/>
  <c r="AS23" i="10" s="1"/>
  <c r="AV23" i="10"/>
  <c r="AU23" i="10" s="1"/>
  <c r="AT15" i="10"/>
  <c r="AS15" i="10" s="1"/>
  <c r="AV15" i="10"/>
  <c r="AU15" i="10" s="1"/>
  <c r="AV7" i="10"/>
  <c r="AU7" i="10" s="1"/>
  <c r="AT7" i="10"/>
  <c r="AS7" i="10" s="1"/>
  <c r="AJ17" i="10"/>
  <c r="AI17" i="10" s="1"/>
  <c r="AH17" i="10"/>
  <c r="AG17" i="10" s="1"/>
  <c r="AJ26" i="10"/>
  <c r="AI26" i="10" s="1"/>
  <c r="AH26" i="10"/>
  <c r="AG26" i="10" s="1"/>
  <c r="AZ32" i="10"/>
  <c r="AY32" i="10" s="1"/>
  <c r="BB32" i="10"/>
  <c r="BA32" i="10" s="1"/>
  <c r="AH33" i="10"/>
  <c r="AG33" i="10" s="1"/>
  <c r="AJ33" i="10"/>
  <c r="AI33" i="10" s="1"/>
  <c r="AN24" i="10"/>
  <c r="AM24" i="10" s="1"/>
  <c r="AP24" i="10"/>
  <c r="AO24" i="10" s="1"/>
  <c r="AP34" i="10"/>
  <c r="AO34" i="10" s="1"/>
  <c r="AN34" i="10"/>
  <c r="AM34" i="10" s="1"/>
  <c r="AZ17" i="10"/>
  <c r="AY17" i="10" s="1"/>
  <c r="BB17" i="10"/>
  <c r="BA17" i="10" s="1"/>
  <c r="AZ26" i="10"/>
  <c r="AY26" i="10" s="1"/>
  <c r="BB26" i="10"/>
  <c r="BA26" i="10" s="1"/>
  <c r="AZ33" i="10"/>
  <c r="AY33" i="10" s="1"/>
  <c r="BB33" i="10"/>
  <c r="BA33" i="10" s="1"/>
  <c r="BB7" i="10"/>
  <c r="BA7" i="10" s="1"/>
  <c r="AZ7" i="10"/>
  <c r="AY7" i="10" s="1"/>
  <c r="AT24" i="10"/>
  <c r="AS24" i="10" s="1"/>
  <c r="AV24" i="10"/>
  <c r="AU24" i="10" s="1"/>
  <c r="BB31" i="10"/>
  <c r="BA31" i="10" s="1"/>
  <c r="AZ31" i="10"/>
  <c r="AY31" i="10" s="1"/>
  <c r="AH7" i="10"/>
  <c r="AG7" i="10" s="1"/>
  <c r="AJ7" i="10"/>
  <c r="AI7" i="10" s="1"/>
  <c r="AN17" i="10"/>
  <c r="AM17" i="10" s="1"/>
  <c r="AP17" i="10"/>
  <c r="AO17" i="10" s="1"/>
  <c r="AN23" i="10"/>
  <c r="AM23" i="10" s="1"/>
  <c r="AP23" i="10"/>
  <c r="AO23" i="10" s="1"/>
  <c r="AT38" i="10"/>
  <c r="AS38" i="10" s="1"/>
  <c r="AV38" i="10"/>
  <c r="AU38" i="10" s="1"/>
  <c r="AT14" i="10"/>
  <c r="AS14" i="10" s="1"/>
  <c r="AV14" i="10"/>
  <c r="AU14" i="10" s="1"/>
  <c r="AZ22" i="10"/>
  <c r="AY22" i="10" s="1"/>
  <c r="BB22" i="10"/>
  <c r="BA22" i="10" s="1"/>
  <c r="AT27" i="10"/>
  <c r="AS27" i="10" s="1"/>
  <c r="AV27" i="10"/>
  <c r="AU27" i="10" s="1"/>
  <c r="AJ34" i="10"/>
  <c r="AI34" i="10" s="1"/>
  <c r="AH34" i="10"/>
  <c r="AG34" i="10" s="1"/>
  <c r="AT20" i="10"/>
  <c r="AS20" i="10" s="1"/>
  <c r="AV20" i="10"/>
  <c r="AU20" i="10" s="1"/>
  <c r="AZ16" i="10"/>
  <c r="AY16" i="10" s="1"/>
  <c r="BB16" i="10"/>
  <c r="BA16" i="10" s="1"/>
  <c r="AN18" i="10"/>
  <c r="AM18" i="10" s="1"/>
  <c r="AP18" i="10"/>
  <c r="AO18" i="10" s="1"/>
  <c r="AP33" i="10"/>
  <c r="AO33" i="10" s="1"/>
  <c r="AN33" i="10"/>
  <c r="AM33" i="10" s="1"/>
  <c r="AN15" i="10"/>
  <c r="AM15" i="10" s="1"/>
  <c r="AP15" i="10"/>
  <c r="AO15" i="10" s="1"/>
  <c r="AV19" i="10"/>
  <c r="AU19" i="10" s="1"/>
  <c r="AT19" i="10"/>
  <c r="AS19" i="10" s="1"/>
  <c r="AN16" i="10"/>
  <c r="AM16" i="10" s="1"/>
  <c r="AP16" i="10"/>
  <c r="AO16" i="10" s="1"/>
  <c r="AT40" i="10"/>
  <c r="AS40" i="10" s="1"/>
  <c r="AV40" i="10"/>
  <c r="AU40" i="10" s="1"/>
  <c r="AP19" i="10"/>
  <c r="AO19" i="10" s="1"/>
  <c r="AN19" i="10"/>
  <c r="AM19" i="10" s="1"/>
  <c r="AN40" i="10"/>
  <c r="AM40" i="10" s="1"/>
  <c r="AP40" i="10"/>
  <c r="AO40" i="10" s="1"/>
  <c r="AN38" i="10"/>
  <c r="AM38" i="10" s="1"/>
  <c r="AP38" i="10"/>
  <c r="AO38" i="10" s="1"/>
  <c r="AT17" i="10"/>
  <c r="AS17" i="10" s="1"/>
  <c r="AV17" i="10"/>
  <c r="AU17" i="10" s="1"/>
  <c r="AH32" i="10"/>
  <c r="AG32" i="10" s="1"/>
  <c r="AJ32" i="10"/>
  <c r="AI32" i="10" s="1"/>
  <c r="AJ38" i="10"/>
  <c r="AI38" i="10" s="1"/>
  <c r="AH38" i="10"/>
  <c r="AG38" i="10" s="1"/>
  <c r="AK15" i="10"/>
  <c r="AK34" i="10"/>
  <c r="AK41" i="10"/>
  <c r="AK33" i="10"/>
  <c r="AK22" i="10"/>
  <c r="AK30" i="10"/>
  <c r="AW9" i="10"/>
  <c r="AW37" i="10"/>
  <c r="AK26" i="10"/>
  <c r="AK10" i="10"/>
  <c r="AK11" i="10"/>
  <c r="AK32" i="10"/>
  <c r="AK38" i="10"/>
  <c r="AQ9" i="10"/>
  <c r="AK12" i="10"/>
  <c r="AK8" i="10"/>
  <c r="AK27" i="10"/>
  <c r="AK23" i="10"/>
  <c r="AK13" i="10"/>
  <c r="AK21" i="10"/>
  <c r="AK37" i="10"/>
  <c r="AK40" i="10"/>
  <c r="AQ21" i="10"/>
  <c r="AQ10" i="10"/>
  <c r="AQ13" i="10"/>
  <c r="AQ34" i="10"/>
  <c r="AQ23" i="10"/>
  <c r="AQ27" i="10"/>
  <c r="AQ37" i="10"/>
  <c r="AQ35" i="10"/>
  <c r="AQ24" i="10"/>
  <c r="AQ31" i="10"/>
  <c r="AQ12" i="10"/>
  <c r="AQ11" i="10"/>
  <c r="AQ29" i="10"/>
  <c r="AQ20" i="10"/>
  <c r="AQ19" i="10"/>
  <c r="AQ16" i="10"/>
  <c r="AQ30" i="10"/>
  <c r="AQ32" i="10"/>
  <c r="AQ25" i="10"/>
  <c r="AQ28" i="10"/>
  <c r="AQ26" i="10"/>
  <c r="AQ41" i="10"/>
  <c r="AQ38" i="10"/>
  <c r="AE35" i="10"/>
  <c r="AE14" i="10"/>
  <c r="AE20" i="10"/>
  <c r="AQ36" i="10"/>
  <c r="AQ40" i="10"/>
  <c r="AQ22" i="10"/>
  <c r="AE21" i="10"/>
  <c r="AK9" i="10"/>
  <c r="AK19" i="10"/>
  <c r="AK36" i="10"/>
  <c r="AK25" i="10"/>
  <c r="AK7" i="10"/>
  <c r="AK28" i="10"/>
  <c r="AK16" i="10"/>
  <c r="AK31" i="10"/>
  <c r="AK14" i="10"/>
  <c r="AK17" i="10"/>
  <c r="AK29" i="10"/>
  <c r="AK20" i="10"/>
  <c r="AK35" i="10"/>
  <c r="AK18" i="10"/>
  <c r="AK24" i="10"/>
  <c r="AE10" i="10"/>
  <c r="AE7" i="10"/>
  <c r="AE16" i="10"/>
  <c r="AE17" i="10"/>
  <c r="AE33" i="10"/>
  <c r="AE23" i="10"/>
  <c r="AE30" i="10"/>
  <c r="AE26" i="10"/>
  <c r="AE8" i="10"/>
  <c r="AE41" i="10"/>
  <c r="AE38" i="10"/>
  <c r="AE11" i="10"/>
  <c r="AE12" i="10"/>
  <c r="AE32" i="10"/>
  <c r="AE27" i="10"/>
  <c r="AE22" i="10"/>
  <c r="AE9" i="10"/>
  <c r="AE37"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6" i="10"/>
  <c r="A7" i="10"/>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C11" i="19" l="1"/>
  <c r="C13" i="19"/>
  <c r="C10" i="19"/>
  <c r="B31" i="19" s="1"/>
  <c r="C12" i="19"/>
  <c r="D12" i="18"/>
  <c r="D19" i="18" s="1" a="1"/>
  <c r="D14" i="18"/>
  <c r="AW33" i="10"/>
  <c r="AW19" i="10"/>
  <c r="AW18" i="10"/>
  <c r="AW36" i="10"/>
  <c r="AW20" i="10"/>
  <c r="AW8" i="10"/>
  <c r="AW29" i="10"/>
  <c r="AW31" i="10"/>
  <c r="AW35" i="10"/>
  <c r="AW24" i="10"/>
  <c r="AW22" i="10"/>
  <c r="AW13" i="10"/>
  <c r="AW21" i="10"/>
  <c r="AW23" i="10"/>
  <c r="AW28" i="10"/>
  <c r="AW38" i="10"/>
  <c r="AW15" i="10"/>
  <c r="AW41" i="10"/>
  <c r="AW30" i="10"/>
  <c r="AW25" i="10"/>
  <c r="AW10" i="10"/>
  <c r="AW14" i="10"/>
  <c r="AW16" i="10"/>
  <c r="AW40" i="10"/>
  <c r="AW11" i="10"/>
  <c r="AW17" i="10"/>
  <c r="AW26" i="10"/>
  <c r="AW27" i="10"/>
  <c r="AW32" i="10"/>
  <c r="AW12" i="10"/>
  <c r="AW34" i="10"/>
  <c r="AQ15" i="10"/>
  <c r="AQ18" i="10"/>
  <c r="AQ8" i="10"/>
  <c r="AQ17" i="10"/>
  <c r="AQ33" i="10"/>
  <c r="AQ14" i="10"/>
  <c r="D16" i="18"/>
  <c r="L5" i="10"/>
  <c r="B32" i="19" l="1"/>
  <c r="E35" i="19"/>
  <c r="F35" i="19" s="1"/>
  <c r="E34" i="19"/>
  <c r="F34" i="19" s="1"/>
  <c r="B33" i="19"/>
  <c r="A34" i="19"/>
  <c r="E33" i="19"/>
  <c r="F33" i="19" s="1"/>
  <c r="E32" i="19"/>
  <c r="F32" i="19" s="1"/>
  <c r="A31" i="19"/>
  <c r="E31" i="19"/>
  <c r="F31" i="19" s="1"/>
  <c r="B35" i="19"/>
  <c r="B34" i="19"/>
  <c r="A32" i="19"/>
  <c r="A35" i="19"/>
  <c r="A33" i="19"/>
  <c r="C14" i="19"/>
  <c r="D31" i="19"/>
  <c r="D32" i="19" s="1"/>
  <c r="D33" i="19" s="1"/>
  <c r="D34" i="19" s="1"/>
  <c r="D35" i="19" s="1"/>
  <c r="D15" i="18" a="1"/>
  <c r="F11" i="17"/>
  <c r="D17" i="18"/>
  <c r="D7" i="17"/>
  <c r="B7" i="17"/>
  <c r="M5" i="10"/>
  <c r="C15" i="19" l="1"/>
  <c r="G17" i="19"/>
  <c r="F23" i="19" s="1"/>
  <c r="F36" i="19"/>
  <c r="C16" i="17"/>
  <c r="AQ7" i="10"/>
  <c r="C3" i="17"/>
  <c r="F25" i="19" l="1"/>
  <c r="F22" i="19"/>
  <c r="F24" i="19"/>
  <c r="F26" i="19"/>
  <c r="F21" i="19"/>
  <c r="E16" i="17"/>
  <c r="F16" i="17" s="1"/>
  <c r="D16" i="17"/>
  <c r="E13" i="17"/>
  <c r="D13" i="17"/>
  <c r="AW7" i="10"/>
  <c r="F27" i="19" l="1"/>
  <c r="F37" i="19" s="1"/>
  <c r="F13" i="17"/>
  <c r="H13" i="17" s="1"/>
  <c r="H16" i="17"/>
  <c r="F18" i="17" l="1"/>
  <c r="F21" i="17" s="1"/>
  <c r="F28" i="17" l="1"/>
  <c r="H28" i="17" s="1"/>
  <c r="F31" i="17"/>
  <c r="H31" i="17" s="1"/>
  <c r="F32" i="17"/>
  <c r="H32" i="17" s="1"/>
  <c r="F30" i="17"/>
  <c r="H30" i="17" s="1"/>
  <c r="F33" i="17"/>
  <c r="H33" i="17" s="1"/>
  <c r="F29" i="17"/>
  <c r="H29" i="17" s="1"/>
  <c r="F48" i="17" a="1"/>
  <c r="G50" i="17" l="1"/>
  <c r="H50" i="17" s="1"/>
  <c r="G53" i="17"/>
  <c r="H53" i="17" s="1"/>
  <c r="G52" i="17"/>
  <c r="H52" i="17" s="1"/>
  <c r="G49" i="17"/>
  <c r="H49" i="17" s="1"/>
  <c r="G51" i="17"/>
  <c r="H51" i="17" s="1"/>
  <c r="F39" i="17"/>
  <c r="G54" i="17" l="1"/>
  <c r="D53" i="17"/>
  <c r="D52" i="17"/>
  <c r="D51" i="17"/>
  <c r="D50" i="17"/>
  <c r="D49" i="17"/>
  <c r="F48" i="17"/>
  <c r="H48" i="17" s="1"/>
  <c r="D48" i="17"/>
  <c r="D47" i="17"/>
  <c r="F45" i="17"/>
  <c r="D19" i="18"/>
  <c r="D15" i="18"/>
  <c r="H45" i="17" l="1"/>
  <c r="F47" i="17" a="1"/>
  <c r="F47" i="17" s="1"/>
  <c r="H47" i="17" s="1"/>
  <c r="D18" i="18"/>
  <c r="G11" i="17" s="1"/>
  <c r="E7" i="17"/>
  <c r="F54" i="17" l="1"/>
  <c r="H54" i="17" s="1"/>
  <c r="G18" i="17"/>
  <c r="H11" i="17"/>
  <c r="G19" i="17" l="1"/>
  <c r="H19" i="17" s="1"/>
  <c r="H18" i="17"/>
  <c r="G21" i="17" l="1"/>
  <c r="H21" i="17"/>
  <c r="G37" i="17" l="1"/>
  <c r="H37" i="17" s="1"/>
  <c r="G36" i="17"/>
  <c r="H36" i="17" s="1"/>
  <c r="G34" i="17"/>
  <c r="G35" i="17"/>
  <c r="H35" i="17" s="1"/>
  <c r="G38" i="17"/>
  <c r="H38" i="17" s="1"/>
  <c r="H34" i="17" l="1"/>
  <c r="H39" i="17" s="1"/>
  <c r="G39" i="17"/>
  <c r="T39" i="10"/>
  <c r="AB39" i="10" l="1"/>
  <c r="AA39" i="10" s="1"/>
  <c r="Z39" i="10"/>
  <c r="Y39" i="10" s="1"/>
  <c r="AX39" i="10"/>
  <c r="AF39" i="10"/>
  <c r="AB5" i="10"/>
  <c r="AA5" i="10"/>
  <c r="T5" i="10"/>
  <c r="S5" i="10" s="1"/>
  <c r="AL39" i="10"/>
  <c r="AR39" i="10"/>
  <c r="AN39" i="10" l="1"/>
  <c r="AM39" i="10" s="1"/>
  <c r="AP39" i="10"/>
  <c r="AO39" i="10" s="1"/>
  <c r="AJ39" i="10"/>
  <c r="AI39" i="10" s="1"/>
  <c r="AH39" i="10"/>
  <c r="AG39" i="10" s="1"/>
  <c r="AZ39" i="10"/>
  <c r="AY39" i="10" s="1"/>
  <c r="BB39" i="10"/>
  <c r="BA39" i="10" s="1"/>
  <c r="AT39" i="10"/>
  <c r="AS39" i="10" s="1"/>
  <c r="AV39" i="10"/>
  <c r="AU39" i="10" s="1"/>
  <c r="AQ39" i="10"/>
  <c r="AE39" i="10"/>
  <c r="Y5" i="10"/>
  <c r="Z5" i="10"/>
  <c r="AK39" i="10"/>
  <c r="AW39"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Quý N.Nguyễn</author>
  </authors>
  <commentList>
    <comment ref="V6" authorId="0" shapeId="0" xr:uid="{1409A842-2DFD-4245-BC7A-9DE9EE12397B}">
      <text>
        <r>
          <rPr>
            <b/>
            <sz val="10"/>
            <color rgb="FF000000"/>
            <rFont val="Tahoma"/>
            <family val="2"/>
          </rPr>
          <t>Quý N.Nguyễn:</t>
        </r>
        <r>
          <rPr>
            <sz val="10"/>
            <color rgb="FF000000"/>
            <rFont val="Tahoma"/>
            <family val="2"/>
          </rPr>
          <t xml:space="preserve">
</t>
        </r>
        <r>
          <rPr>
            <sz val="10"/>
            <color rgb="FF000000"/>
            <rFont val="Tahoma"/>
            <family val="2"/>
          </rPr>
          <t>Gía xây dựng hoàn thiện bên ngoài thô bên trong đối với mẫu A18</t>
        </r>
      </text>
    </comment>
    <comment ref="V12" authorId="0" shapeId="0" xr:uid="{26C55180-3F75-764B-8B68-4397CE8D83CF}">
      <text>
        <r>
          <rPr>
            <b/>
            <sz val="10"/>
            <color rgb="FF000000"/>
            <rFont val="Tahoma"/>
            <family val="2"/>
          </rPr>
          <t>Quý N.Nguyễn:</t>
        </r>
        <r>
          <rPr>
            <sz val="10"/>
            <color rgb="FF000000"/>
            <rFont val="Tahoma"/>
            <family val="2"/>
          </rPr>
          <t xml:space="preserve">
</t>
        </r>
        <r>
          <rPr>
            <sz val="10"/>
            <color rgb="FF000000"/>
            <rFont val="Tahoma"/>
            <family val="2"/>
          </rPr>
          <t>Giá xây dựng mẫu Điền An 20 suite, 1 Community, hoàn thiện cơ bản có cảnh quan, chưa bao gồm nội thất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Quý N.Nguyễn</author>
  </authors>
  <commentList>
    <comment ref="D11" authorId="0" shapeId="0" xr:uid="{4825D7B5-725D-CA4B-832C-41A920690044}">
      <text>
        <r>
          <rPr>
            <b/>
            <sz val="10"/>
            <color rgb="FF000000"/>
            <rFont val="Tahoma"/>
            <family val="2"/>
          </rPr>
          <t>Quý N.Nguyễn:</t>
        </r>
        <r>
          <rPr>
            <sz val="10"/>
            <color rgb="FF000000"/>
            <rFont val="Tahoma"/>
            <family val="2"/>
          </rPr>
          <t xml:space="preserve">
</t>
        </r>
        <r>
          <rPr>
            <sz val="10"/>
            <color rgb="FF000000"/>
            <rFont val="Tahoma"/>
            <family val="2"/>
          </rPr>
          <t xml:space="preserve">- A/B + "." + vị trí lô
</t>
        </r>
        <r>
          <rPr>
            <sz val="10"/>
            <color rgb="FF000000"/>
            <rFont val="Tahoma"/>
            <family val="2"/>
          </rPr>
          <t xml:space="preserve">- Không khoảng cách
</t>
        </r>
        <r>
          <rPr>
            <sz val="10"/>
            <color rgb="FF000000"/>
            <rFont val="Tahoma"/>
            <family val="2"/>
          </rPr>
          <t xml:space="preserve">- Số &lt;10, không có số "0" phía trước
</t>
        </r>
      </text>
    </comment>
    <comment ref="D13" authorId="0" shapeId="0" xr:uid="{1580FA99-29C6-E542-AC93-A2898678AEF3}">
      <text>
        <r>
          <rPr>
            <b/>
            <sz val="10"/>
            <color rgb="FF000000"/>
            <rFont val="Tahoma"/>
            <family val="2"/>
          </rPr>
          <t>Quý N.Nguyễn:</t>
        </r>
        <r>
          <rPr>
            <sz val="10"/>
            <color rgb="FF000000"/>
            <rFont val="Tahoma"/>
            <family val="2"/>
          </rPr>
          <t xml:space="preserve">
</t>
        </r>
        <r>
          <rPr>
            <sz val="10"/>
            <color rgb="FF000000"/>
            <rFont val="Tahoma"/>
            <family val="2"/>
          </rPr>
          <t xml:space="preserve">Chọn nhu cầu của KH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Quý N.Nguyễn</author>
  </authors>
  <commentList>
    <comment ref="C13" authorId="0" shapeId="0" xr:uid="{735B57B8-B4C9-504B-85F2-A1EF4E33E152}">
      <text>
        <r>
          <rPr>
            <b/>
            <sz val="10"/>
            <color rgb="FF000000"/>
            <rFont val="Tahoma"/>
            <family val="2"/>
          </rPr>
          <t>Quý N.Nguyễn:</t>
        </r>
        <r>
          <rPr>
            <sz val="10"/>
            <color rgb="FF000000"/>
            <rFont val="Tahoma"/>
            <family val="2"/>
          </rPr>
          <t xml:space="preserve">
</t>
        </r>
        <r>
          <rPr>
            <sz val="10"/>
            <color rgb="FF000000"/>
            <rFont val="Tahoma"/>
            <family val="2"/>
          </rPr>
          <t>Nếu sản phẩm là điền sản thì chọn "Không" ở mục này. Do chính sách không áp dụng đồng thời</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<sst xmlns="http://schemas.openxmlformats.org/spreadsheetml/2006/main" count="796" uniqueCount="431">
  <si>
    <t>Dãy</t>
  </si>
  <si>
    <t>Căn số</t>
  </si>
  <si>
    <t>Mã Sản Phẩm</t>
  </si>
  <si>
    <t>Vị trí căn</t>
  </si>
  <si>
    <t>VIEW</t>
  </si>
  <si>
    <t>Đông Nam</t>
  </si>
  <si>
    <t>Tây Nam</t>
  </si>
  <si>
    <t>Tây Bắc</t>
  </si>
  <si>
    <t>Đông Bắc</t>
  </si>
  <si>
    <t>STT</t>
  </si>
  <si>
    <t>Móp hậu</t>
  </si>
  <si>
    <t>Loại sản phẩm</t>
  </si>
  <si>
    <t>Đơn giá</t>
  </si>
  <si>
    <t>Giá trị đất</t>
  </si>
  <si>
    <t>Quỹ sản phẩm</t>
  </si>
  <si>
    <t>Thông số sản phẩm</t>
  </si>
  <si>
    <t>Clubhouse</t>
  </si>
  <si>
    <t xml:space="preserve">GIÁ ĐẤT NIÊM YẾT </t>
  </si>
  <si>
    <t>GĐ1</t>
  </si>
  <si>
    <t>A</t>
  </si>
  <si>
    <t>B</t>
  </si>
  <si>
    <t>SỐ GCN</t>
  </si>
  <si>
    <t>SỐ THỬA</t>
  </si>
  <si>
    <t>SỐ TỜ</t>
  </si>
  <si>
    <t>SỐ VÀO SỔ</t>
  </si>
  <si>
    <t>NGÀY CẤP</t>
  </si>
  <si>
    <t>DIỆN TÍCH ĐẤT TRÊN SỔ</t>
  </si>
  <si>
    <t>DIỆN TÍCH ĐẤT GIAO THÔNG</t>
  </si>
  <si>
    <t>CS 734442</t>
  </si>
  <si>
    <t>CS 02523</t>
  </si>
  <si>
    <t>CS 734448</t>
  </si>
  <si>
    <t>CS 02528</t>
  </si>
  <si>
    <t>CS 734441</t>
  </si>
  <si>
    <t>CS 02522</t>
  </si>
  <si>
    <t>CS 734440</t>
  </si>
  <si>
    <t>CS 02521</t>
  </si>
  <si>
    <t>CS 734438</t>
  </si>
  <si>
    <t>CS 02519</t>
  </si>
  <si>
    <t>CS 734437</t>
  </si>
  <si>
    <t>CS 02518</t>
  </si>
  <si>
    <t>CS 734476</t>
  </si>
  <si>
    <t>CS 02556</t>
  </si>
  <si>
    <t>CS 734436</t>
  </si>
  <si>
    <t>CS 02516</t>
  </si>
  <si>
    <t>CS 734435</t>
  </si>
  <si>
    <t>CS 02517</t>
  </si>
  <si>
    <t>CS 734458</t>
  </si>
  <si>
    <t>CS 02538</t>
  </si>
  <si>
    <t>CS 734459</t>
  </si>
  <si>
    <t>CS 02539</t>
  </si>
  <si>
    <t>CS 734460</t>
  </si>
  <si>
    <t>CS 02540</t>
  </si>
  <si>
    <t>CS 734461</t>
  </si>
  <si>
    <t>CS 02541</t>
  </si>
  <si>
    <t>CS 734462</t>
  </si>
  <si>
    <t>CS 02542</t>
  </si>
  <si>
    <t>CS 734463</t>
  </si>
  <si>
    <t>CS 02543</t>
  </si>
  <si>
    <t>CS 734464</t>
  </si>
  <si>
    <t>CS 02544</t>
  </si>
  <si>
    <t>CS 734465</t>
  </si>
  <si>
    <t>CS 02545</t>
  </si>
  <si>
    <t>CS 734466</t>
  </si>
  <si>
    <t>CS 02546</t>
  </si>
  <si>
    <t>CS 805564</t>
  </si>
  <si>
    <t>CS 02391</t>
  </si>
  <si>
    <t>CS 734443</t>
  </si>
  <si>
    <t>CS 02524</t>
  </si>
  <si>
    <t>CS 734444</t>
  </si>
  <si>
    <t>CS 02525</t>
  </si>
  <si>
    <t>CS 734449</t>
  </si>
  <si>
    <t>CS 02529</t>
  </si>
  <si>
    <t>CS 734450</t>
  </si>
  <si>
    <t>CS 02530</t>
  </si>
  <si>
    <t>CS 734451</t>
  </si>
  <si>
    <t>CS 02531</t>
  </si>
  <si>
    <t>CS 734452</t>
  </si>
  <si>
    <t>CS 02532</t>
  </si>
  <si>
    <t>CS 734456</t>
  </si>
  <si>
    <t>CS 02536</t>
  </si>
  <si>
    <t>CS 734455</t>
  </si>
  <si>
    <t>CS 02535</t>
  </si>
  <si>
    <t>CS 734467</t>
  </si>
  <si>
    <t>CS 02547</t>
  </si>
  <si>
    <t>CS 734468</t>
  </si>
  <si>
    <t>CS 02548</t>
  </si>
  <si>
    <t>CS 734453</t>
  </si>
  <si>
    <t>CS 02533</t>
  </si>
  <si>
    <t>CS 734454</t>
  </si>
  <si>
    <t>CS 02534</t>
  </si>
  <si>
    <t>CS 734470</t>
  </si>
  <si>
    <t>CS 02550</t>
  </si>
  <si>
    <t>CS 734471</t>
  </si>
  <si>
    <t>CS 02551</t>
  </si>
  <si>
    <t>CS 734473</t>
  </si>
  <si>
    <t>CS 02553</t>
  </si>
  <si>
    <t>CS 734474</t>
  </si>
  <si>
    <t>CS 02554</t>
  </si>
  <si>
    <t>CS 734475</t>
  </si>
  <si>
    <t>CS 02555</t>
  </si>
  <si>
    <t>DIỆN TÍCH ĐẤT BÁN</t>
  </si>
  <si>
    <t>DIỆN TÍCH ĐẤT Ở</t>
  </si>
  <si>
    <t xml:space="preserve">Xéo góc </t>
  </si>
  <si>
    <t>Kẹt</t>
  </si>
  <si>
    <t>Lô thường</t>
  </si>
  <si>
    <t>Lô góc</t>
  </si>
  <si>
    <t>2 Mặt tiền</t>
  </si>
  <si>
    <t>Lúa</t>
  </si>
  <si>
    <t>Xẻ khe - Gần đường</t>
  </si>
  <si>
    <t xml:space="preserve">Đường trục chính </t>
  </si>
  <si>
    <t xml:space="preserve">Đường nội bộ </t>
  </si>
  <si>
    <t>ĐƯỜNG</t>
  </si>
  <si>
    <t>HƯỚNG</t>
  </si>
  <si>
    <t>Ghi chú</t>
  </si>
  <si>
    <t>ĐỢT</t>
  </si>
  <si>
    <t>GHI CHÚ</t>
  </si>
  <si>
    <t>ĐƠN GIÁ</t>
  </si>
  <si>
    <t xml:space="preserve">TỔNG GIÁ </t>
  </si>
  <si>
    <t>TỔNG GIÁ</t>
  </si>
  <si>
    <t>Garden</t>
  </si>
  <si>
    <t>DIỆN TÍCH XÂY DỰNG</t>
  </si>
  <si>
    <t>GIÁ TRỊ XÂY DỰNG</t>
  </si>
  <si>
    <t>GIÁ TRỊ XÂY DỰNG (chưa VAT)</t>
  </si>
  <si>
    <t>LOẠI SẢN PHẨM</t>
  </si>
  <si>
    <t>Biệt phủ</t>
  </si>
  <si>
    <t>Điền An</t>
  </si>
  <si>
    <t>Điền Sản</t>
  </si>
  <si>
    <t>Gần mặt tiền</t>
  </si>
  <si>
    <t>ĐƠN GIÁ XÂY DỰNG</t>
  </si>
  <si>
    <t>GIÁ BÁN CẢ NHÀ (chưa VAT)</t>
  </si>
  <si>
    <t>GIÁ BÁN CẢ NHÀ (Bao gồm VAT)</t>
  </si>
  <si>
    <t>BẢNG BÁO GIÁ THAM KHẢO</t>
  </si>
  <si>
    <r>
      <t xml:space="preserve">Kính gửi: Quý khách hàng
</t>
    </r>
    <r>
      <rPr>
        <sz val="12"/>
        <color theme="1"/>
        <rFont val="Times New Roman"/>
        <family val="1"/>
      </rPr>
      <t>[] hân hạnh được đón tiếp anh/chị và cảm ơn anh/chị đã quan tâm mua sản phẩm Khu Điền trang bản sắc Việt đương đại bên hồ.</t>
    </r>
  </si>
  <si>
    <t>I. THÔNG TIN SẢN PHẨM</t>
  </si>
  <si>
    <t>Mã sản phẩm</t>
  </si>
  <si>
    <t>DT đất (m2)</t>
  </si>
  <si>
    <t>DT xây dựng (m2)</t>
  </si>
  <si>
    <t>Ngày lập bảng tính</t>
  </si>
  <si>
    <t>Quốc tịch khách hàng</t>
  </si>
  <si>
    <t>II. CÁC ƯU ĐÃI VÀ GIÁ BÁN</t>
  </si>
  <si>
    <t>Các chương trình</t>
  </si>
  <si>
    <t>Lựa chọn
ưu đãi</t>
  </si>
  <si>
    <t>% hoặc
Giá trị ưu đãi</t>
  </si>
  <si>
    <t>Được trừ
vào giá bán</t>
  </si>
  <si>
    <t>Giá trị QSD đất và Thương mại</t>
  </si>
  <si>
    <t>Giá trị xây dựng</t>
  </si>
  <si>
    <t>Tổng</t>
  </si>
  <si>
    <t>Ghi Chú</t>
  </si>
  <si>
    <t>Giá dự kiến</t>
  </si>
  <si>
    <t>Chưa công bố</t>
  </si>
  <si>
    <t>KHÔNG</t>
  </si>
  <si>
    <t>CÓ</t>
  </si>
  <si>
    <t>Thuế VAT</t>
  </si>
  <si>
    <t>Kinh phí bảo trì</t>
  </si>
  <si>
    <t>Tổng giá bán dự kiến (bao gồm VAT, KPBT)</t>
  </si>
  <si>
    <t>Tiến độ</t>
  </si>
  <si>
    <t>Thời gian</t>
  </si>
  <si>
    <t>%</t>
  </si>
  <si>
    <t>Giá trị QSDĐ &amp; TM</t>
  </si>
  <si>
    <t>20% Giá trị xây dựng gồm VAT</t>
  </si>
  <si>
    <t>15% Giá trị xây dựng gồm VAT</t>
  </si>
  <si>
    <t>TỔNG THANH TOÁN</t>
  </si>
  <si>
    <t xml:space="preserve">Ngày cập nhật:  </t>
  </si>
  <si>
    <t>1. THÔNG TIN KHÁCH HÀNG</t>
  </si>
  <si>
    <t>Hạng thành viên MDS Lifestyle</t>
  </si>
  <si>
    <t>Quốc tịch</t>
  </si>
  <si>
    <t>Việt Nam</t>
  </si>
  <si>
    <t>- Mã căn</t>
  </si>
  <si>
    <t>- Diện tích đất (m2)</t>
  </si>
  <si>
    <t>- Diện tích xây dựng (m2)</t>
  </si>
  <si>
    <t>- Đây là bảng tính tham khảo, không phải CĐT ban hành chính thức</t>
  </si>
  <si>
    <r>
      <rPr>
        <sz val="14"/>
        <color theme="1"/>
        <rFont val="Times New Roman"/>
        <family val="1"/>
      </rPr>
      <t xml:space="preserve">- Link bảng tính được chia sẻ ở </t>
    </r>
    <r>
      <rPr>
        <b/>
        <sz val="14"/>
        <color theme="1"/>
        <rFont val="Times New Roman"/>
        <family val="1"/>
      </rPr>
      <t>CHẾ ĐỘ CHỈNH SỬA</t>
    </r>
    <r>
      <rPr>
        <sz val="14"/>
        <color theme="1"/>
        <rFont val="Times New Roman"/>
        <family val="1"/>
      </rPr>
      <t xml:space="preserve"> có giới hạn, nên cần chỉnh sửa toàn phần, anh chị hãy tải về thành file excel</t>
    </r>
  </si>
  <si>
    <t>- Anh chị tư vấn trực tiếp cho khách hàng có trách nhiệm kiểm tra lại các thông tin sản phẩm, giá bán khi gửi đến khách</t>
  </si>
  <si>
    <t>3. THÔNG TIN SẢN PHẨM</t>
  </si>
  <si>
    <t>- Loại hình xây dựng</t>
  </si>
  <si>
    <t>Loại hình Xây dựng</t>
  </si>
  <si>
    <t>Khách hàng thân thiết</t>
  </si>
  <si>
    <t>Ưu đãi cho khách hàng thân thiết</t>
  </si>
  <si>
    <t xml:space="preserve">Gói quà tặng "Tiên phong kiến tạo" </t>
  </si>
  <si>
    <t>Dành cho KH Xây dựng Nhà ở trước Q4/2027</t>
  </si>
  <si>
    <t>Tặng gói Quản gia - Farm Resort</t>
  </si>
  <si>
    <t>Tặng gói phí quản lý - Farm Resort</t>
  </si>
  <si>
    <t>Qùa tặng đặc biệt " Tiên Phong Tích sản"</t>
  </si>
  <si>
    <t>Dành cho Sản phẩm Điền sản</t>
  </si>
  <si>
    <t>Giá chuyển nhượng  sau ưu đãi</t>
  </si>
  <si>
    <t>Giá bán chưa bao gồm VAT</t>
  </si>
  <si>
    <t xml:space="preserve">KHÔNG </t>
  </si>
  <si>
    <t>Theo CSBH</t>
  </si>
  <si>
    <t>Đặt cọc</t>
  </si>
  <si>
    <t xml:space="preserve">Ký HĐCN </t>
  </si>
  <si>
    <r>
      <t xml:space="preserve">20% Giá trị QSDĐ và TM
</t>
    </r>
    <r>
      <rPr>
        <sz val="12"/>
        <color rgb="FFFF0000"/>
        <rFont val="Times New Roman"/>
        <family val="1"/>
      </rPr>
      <t>(đã bao gồm các khoản thanh toán tại HĐĐC trước đó)</t>
    </r>
  </si>
  <si>
    <t xml:space="preserve">10% Giá trị QSDĐ và TM </t>
  </si>
  <si>
    <t xml:space="preserve">40% Giá trị QSDĐ và TM </t>
  </si>
  <si>
    <t>30% Giá trị xây dựng gồm VAT</t>
  </si>
  <si>
    <t xml:space="preserve">Ký HĐXD: Thanh toán Giá trị xây dựng </t>
  </si>
  <si>
    <t>Lần 2: Hoàn thành móng</t>
  </si>
  <si>
    <t>Lần 3: Hoàn thiện phần thô</t>
  </si>
  <si>
    <t>Lần 4: Hoàn thiện mặt ngoài</t>
  </si>
  <si>
    <t>Lần 5: Bàn giao theo thông báo của CĐT</t>
  </si>
  <si>
    <t>Lần 2: T + 60 ngày</t>
  </si>
  <si>
    <t xml:space="preserve">Lần 1: Cọc và ký hồ sơ (HĐĐC) </t>
  </si>
  <si>
    <t>Lần 1: 10 ngày sau đặt cọc (ngày T)</t>
  </si>
  <si>
    <t>Lần 3: T + 120 ngày</t>
  </si>
  <si>
    <t>Lần 4: T + 180 ngày</t>
  </si>
  <si>
    <t>Lần 5 : T + 240 ngày</t>
  </si>
  <si>
    <t>Ưu đãi "Đặc quyền thanh toán"</t>
  </si>
  <si>
    <t xml:space="preserve">III. PHƯƠNG ÁN 1: TIẾN ĐỘ THANH TOÁN CHUẨN					</t>
  </si>
  <si>
    <t>- Đơn giá xây dựng chưa VAT</t>
  </si>
  <si>
    <t>- Giá trị xây dựng chưa VAT</t>
  </si>
  <si>
    <t>- Đơn giá chuyển nhượng QSD đất &amp; thương mại</t>
  </si>
  <si>
    <t>- Giá chuyển nhượng QSD đất &amp; Thương mại</t>
  </si>
  <si>
    <t xml:space="preserve">III. PHƯƠNG ÁN 2: TIẾN ĐỘ THANH TOÁN TRƯỚC HẠN				</t>
  </si>
  <si>
    <t xml:space="preserve">Lần 6 : D + 360 ngày </t>
  </si>
  <si>
    <t>Lần 2: T + 360 ngày</t>
  </si>
  <si>
    <t>SAIGON FARM RESORT - ĐIỀN TRANG BẢN SẮC VIỆT ĐƯƠNG ĐẠI</t>
  </si>
  <si>
    <t>BIỆT THỰ NGHỈ DƯỠNG SÀI GÒN FARM RESORT</t>
  </si>
  <si>
    <t>CHƯƠNG TRÌNH ĐẶC QUYỀN SỞ HỮU</t>
  </si>
  <si>
    <r>
      <rPr>
        <b/>
        <sz val="11"/>
        <color theme="1"/>
        <rFont val="Amasis MT Pro"/>
        <family val="1"/>
      </rPr>
      <t>⏰  THỜI GIAN ÁP DỤNG:</t>
    </r>
    <r>
      <rPr>
        <sz val="11"/>
        <color theme="1"/>
        <rFont val="Amasis MT Pro"/>
        <family val="1"/>
      </rPr>
      <t xml:space="preserve"> </t>
    </r>
  </si>
  <si>
    <t>Khách hàng được lựa chọn phương án thanh toán phù hợp với năng lực tài chính, tối ưu hiệu quả đầu tư ngay từ thời điểm sở hữu.</t>
  </si>
  <si>
    <t>THỜI GIAN THANH TOÁN</t>
  </si>
  <si>
    <t>(%) THANH TOÁN</t>
  </si>
  <si>
    <t>Ký phiếu đặt cọc</t>
  </si>
  <si>
    <t>Đợt 1</t>
  </si>
  <si>
    <t xml:space="preserve">Ký HĐ đặt cọc </t>
  </si>
  <si>
    <t>Đợt 2</t>
  </si>
  <si>
    <t>Đợt 3</t>
  </si>
  <si>
    <t>Đợt 4</t>
  </si>
  <si>
    <t>Đợt 5</t>
  </si>
  <si>
    <t>Đợt cuối</t>
  </si>
  <si>
    <t>Ký HĐ chuyển nhượng QSDĐ</t>
  </si>
  <si>
    <t>Bàn giao giấy CNQSDĐ</t>
  </si>
  <si>
    <t>Đặc quyền</t>
  </si>
  <si>
    <t>MDS Living đồng hành cùng chủ sở hữu trên hành trình tạo dòng tiền bền vững</t>
  </si>
  <si>
    <t>Sở hữu biệt thự không chỉ để nghỉ dưỡng - Mỗi tài sản đều có thể được khai thác nhằm gia tăng hiệu quả đầu tư thông qua hệ thống vận hành chuyên nghiệp của MDS Living.</t>
  </si>
  <si>
    <t>ĐƠN GIÁ ĐẤT</t>
  </si>
  <si>
    <t>TỔNG GIÁ ĐẤT</t>
  </si>
  <si>
    <t>ĐƠN GIÁ CẢ NHÀ
 (gồm VAT)</t>
  </si>
  <si>
    <t>ĐƠN GIÁ CẢ NHÀ 
(chưa VAT)</t>
  </si>
  <si>
    <t>TỔNG GIÁ BÁN CẢ NHÀ
 (gồm VAT)</t>
  </si>
  <si>
    <t>TỔNG GIÁ BÁN CẢ NHÀ
 (chưa VAT)</t>
  </si>
  <si>
    <t>GÍA BÁN SAU CHƯƠNG TRÌNH BÁN HÀNG VÀ TT CHUẨN</t>
  </si>
  <si>
    <t>GÍA BÁN SAU CHƯƠNG TRÌNH BÁN HÀNG VÀ TT TRƯỚC HẠN 50%</t>
  </si>
  <si>
    <t>GÍA BÁN SAU CHƯƠNG TRÌNH BÁN HÀNG VÀ TT TRƯỚC HẠN 70%</t>
  </si>
  <si>
    <t>GÍA BÁN SAU CHƯƠNG TRÌNH BÁN HÀNG VÀ TT TRƯỚC HẠN 100%</t>
  </si>
  <si>
    <t>- Dòng sản phẩm</t>
  </si>
  <si>
    <t>TT CHUẨN</t>
  </si>
  <si>
    <t>20 suites</t>
  </si>
  <si>
    <t>GIÁ TRỊ XÂY DỰNG (có VAT)</t>
  </si>
  <si>
    <t>A.16</t>
  </si>
  <si>
    <t>PHIẾU TÍNH GIÁ &amp; TIẾN ĐỘ THANH TOÁN</t>
  </si>
  <si>
    <t>SÀI GÒN FARM RESORT</t>
  </si>
  <si>
    <t>Ngày lập phiếu</t>
  </si>
  <si>
    <t>Ngày đặt cọc</t>
  </si>
  <si>
    <t>Khách hàng</t>
  </si>
  <si>
    <t>Loại khách hàng</t>
  </si>
  <si>
    <t>Cá nhân người Việt Nam</t>
  </si>
  <si>
    <t>Mã lô chọn</t>
  </si>
  <si>
    <t>Phương án thanh toán CTBH</t>
  </si>
  <si>
    <t>Gói sản phẩm CTBH</t>
  </si>
  <si>
    <t>Lựa chọn gói nội thất</t>
  </si>
  <si>
    <t>Quy đổi giảm giá</t>
  </si>
  <si>
    <t>I. THÔNG TIN SẢN PHẨM &amp; GIÁ TRỊ GIAO DỊCH</t>
  </si>
  <si>
    <t>THÔNG TIN SẢN PHẨM</t>
  </si>
  <si>
    <t>MÃ LÔ</t>
  </si>
  <si>
    <t>GIÁ BÁN SAU KHI TRỪ ƯU ĐÃI</t>
  </si>
  <si>
    <t>Lần</t>
  </si>
  <si>
    <t>Tiến độ thanh toán</t>
  </si>
  <si>
    <t>Ngày dự kiến</t>
  </si>
  <si>
    <t>Tỷ lệ</t>
  </si>
  <si>
    <t>Số tiền (VNĐ)</t>
  </si>
  <si>
    <t>TỔNG CỘNG</t>
  </si>
  <si>
    <t>Đồng</t>
  </si>
  <si>
    <t>Khách hàng vui lòng đối chiếu số tiền, ưu đãi và tiến độ thanh toán với Hợp đồng/Thông báo thanh toán chính thức trước khi thực hiện giao dịch.</t>
  </si>
  <si>
    <t>Thủ tục</t>
  </si>
  <si>
    <t>Kiểm soát</t>
  </si>
  <si>
    <t>Phòng kinh doanh</t>
  </si>
  <si>
    <t>(Ghi rõ họ và tên)</t>
  </si>
  <si>
    <t>DIỆN TÍCH ĐẤT BÁN(m²)</t>
  </si>
  <si>
    <t>DIỆN TÍCH XÂY DỰNG(m²)</t>
  </si>
  <si>
    <t>DÒNG SẢN PHẨM</t>
  </si>
  <si>
    <t>TỔNG GIÁ TRỊ CHUYỂN NHƯỢNG</t>
  </si>
  <si>
    <t>II. TIẾN ĐỘ THANH TOÁN GIÁ TRỊ QSD ĐẤT</t>
  </si>
  <si>
    <t>GIÁ TRỊ QSDĐ</t>
  </si>
  <si>
    <t>Tiến độ xây dựng</t>
  </si>
  <si>
    <t>Tỷ lệ thanh toán</t>
  </si>
  <si>
    <t>TỔNG GIÁ TRỊ THANH TOÁN (ĐẤT + XÂY DỰNG)</t>
  </si>
  <si>
    <t>OP2 - KH mua đất + xây dựng</t>
  </si>
  <si>
    <t>III. TIẾN ĐỘ THANH TOÁN GIÁ TRỊ XÂY DỰNG (ÁP DỤNG VỚI OP2 - ĐIỀN AN VÀ BIỆT PHỦ)</t>
  </si>
  <si>
    <t>TỔNG ƯU ĐÃI ĐƯỢC ÁP DỤNG ĐỐI VỚI GIÁ TRỊ QSDĐ</t>
  </si>
  <si>
    <t>PA1 - Thanh toán chuẩn</t>
  </si>
  <si>
    <t>Vui lòng kiểm tra tổng thanh toán</t>
  </si>
  <si>
    <t>TỔNG THANH TOÁN GIÁ TRỊ XÂY DỰNG</t>
  </si>
  <si>
    <t>Ưu đãi theo phương án thanh toán</t>
  </si>
  <si>
    <t>GIÁ TRỊ XÂY DỰNG (đã bao gồm VAT)</t>
  </si>
  <si>
    <t>100% giá trị xây dựng bao gồm VAT</t>
  </si>
  <si>
    <t>2.	Đặc quyền Lifestyle – Trải nghiệm chuẩn sống Farm Resort</t>
  </si>
  <si>
    <r>
      <rPr>
        <b/>
        <u/>
        <sz val="10"/>
        <color rgb="FF1F1F1F"/>
        <rFont val="Cambria"/>
        <family val="1"/>
      </rPr>
      <t xml:space="preserve">Thời gian áp dụng: </t>
    </r>
    <r>
      <rPr>
        <sz val="10"/>
        <color rgb="FF1F1F1F"/>
        <rFont val="Cambria"/>
        <family val="1"/>
      </rPr>
      <t>24 tháng kể từ ngày ký công chứng Hợp đồng chuyển nhượng quyền sử dụng đất. Quyền lợi cụ thể được áp dụng theo chính sách và điều kiện sử dụng dịch vụ của MDS Living.</t>
    </r>
  </si>
  <si>
    <r>
      <rPr>
        <b/>
        <u/>
        <sz val="10"/>
        <color rgb="FF1F1F1F"/>
        <rFont val="Cambria"/>
        <family val="1"/>
      </rPr>
      <t xml:space="preserve">Thời gian áp dụng: </t>
    </r>
    <r>
      <rPr>
        <sz val="10"/>
        <color rgb="FF1F1F1F"/>
        <rFont val="Cambria"/>
        <family val="1"/>
      </rPr>
      <t xml:space="preserve"> 24 tháng kể từ ngày ký công chứng Hợp đồng chuyển nhượng quyền sử dụng đất.</t>
    </r>
  </si>
  <si>
    <r>
      <rPr>
        <b/>
        <u/>
        <sz val="10"/>
        <color rgb="FF1F1F1F"/>
        <rFont val="Cambria"/>
        <family val="1"/>
      </rPr>
      <t>Quyền lợi:</t>
    </r>
    <r>
      <rPr>
        <sz val="10"/>
        <color rgb="FF1F1F1F"/>
        <rFont val="Cambria"/>
        <family val="1"/>
      </rPr>
      <t xml:space="preserve">
- Miễn phí quản lý vận hành trong 24 tháng. 
- Được đồng hành bởi hệ thống quản lý và vận hành chuyên nghiệp của MDS Living.
- Hỗ trợ chăm sóc, bảo quản tài sản theo tiêu chuẩn Farm Resort.</t>
    </r>
  </si>
  <si>
    <r>
      <rPr>
        <b/>
        <u/>
        <sz val="10"/>
        <color rgb="FF1F1F1F"/>
        <rFont val="Cambria"/>
        <family val="1"/>
      </rPr>
      <t>Quyền lợi:</t>
    </r>
    <r>
      <rPr>
        <sz val="10"/>
        <color rgb="FF1F1F1F"/>
        <rFont val="Cambria"/>
        <family val="1"/>
      </rPr>
      <t xml:space="preserve">
- Dịch vụ Quản gia theo tiêu chuẩn Farm Resort. 
- Trải nghiệm nông sản sạch từ Organic Farm. 
- Tiếp cận các tiện ích và dịch vụ dành riêng cho chủ sở hữu theo chính sách của MDS Living.</t>
    </r>
  </si>
  <si>
    <t>IV. ĐẶC QUYỀN DÀNH CHO CHỦ SỞ HỮU SAU KHI KÝ CÔNG CHỨNG HỢP ĐỒNG CNQSDĐ</t>
  </si>
  <si>
    <t xml:space="preserve">Đặc quyền kiến tạo không gian sống </t>
  </si>
  <si>
    <t>1. Đặc quyền Khởi đầu an nhàn – 24 tháng đồng hành vận hành</t>
  </si>
  <si>
    <t>ƯU ĐÃI KHÁCH HÀNG (CHIẾT KHẤU VÀO GIÁ TRỊ QSDĐ)</t>
  </si>
  <si>
    <t>A.15</t>
  </si>
  <si>
    <t>V. CHƯƠNG TRÌNH ĐỒNG HÀNH KHAI THÁC TÀI SẢN DÀNH RIÊNG CHO DÒNG BIỆT PHỦ VÀ ĐIỀN SẢN (TÙY CHỌN)</t>
  </si>
  <si>
    <t>1. Đồng hành kinh doanh</t>
  </si>
  <si>
    <r>
      <rPr>
        <b/>
        <u/>
        <sz val="10"/>
        <color rgb="FF1F1F1F"/>
        <rFont val="Cambria"/>
        <family val="1"/>
      </rPr>
      <t xml:space="preserve">Thời gian áp dụng: </t>
    </r>
    <r>
      <rPr>
        <sz val="10"/>
        <color rgb="FF1F1F1F"/>
        <rFont val="Cambria"/>
        <family val="1"/>
      </rPr>
      <t>Theo Hợp đồng hợp tác khai thác.</t>
    </r>
  </si>
  <si>
    <r>
      <rPr>
        <b/>
        <u/>
        <sz val="10"/>
        <color rgb="FF1F1F1F"/>
        <rFont val="Cambria"/>
        <family val="1"/>
      </rPr>
      <t>Quyền lợi:</t>
    </r>
    <r>
      <rPr>
        <sz val="10"/>
        <color rgb="FF1F1F1F"/>
        <rFont val="Cambria"/>
        <family val="1"/>
      </rPr>
      <t xml:space="preserve">
- MDS Living trực tiếp quản lý, vận hành và khai thác biệt thự.
- Chia sẻ doanh thu thực tế theo tỷ lệ thỏa thuận trong Hợp đồng hợp tác khai thác.
- Đối soát và thanh toán theo thỏa thuận giữa hai bên.</t>
    </r>
  </si>
  <si>
    <t>2. Ủy thác vận hành an nhàn</t>
  </si>
  <si>
    <r>
      <rPr>
        <b/>
        <u/>
        <sz val="10"/>
        <color rgb="FF1F1F1F"/>
        <rFont val="Cambria"/>
        <family val="1"/>
      </rPr>
      <t>Thời gian áp dụng:</t>
    </r>
    <r>
      <rPr>
        <sz val="10"/>
        <color rgb="FF1F1F1F"/>
        <rFont val="Cambria"/>
        <family val="1"/>
      </rPr>
      <t xml:space="preserve">
</t>
    </r>
    <r>
      <rPr>
        <b/>
        <i/>
        <sz val="10"/>
        <color rgb="FF1F1F1F"/>
        <rFont val="Cambria"/>
        <family val="1"/>
      </rPr>
      <t>Biệt phủ:</t>
    </r>
    <r>
      <rPr>
        <sz val="10"/>
        <color rgb="FF1F1F1F"/>
        <rFont val="Cambria"/>
        <family val="1"/>
      </rPr>
      <t xml:space="preserve"> Áp dụng trong 12 tháng kể từ ngày bàn giao nhà đủ điều kiện vận hành.
</t>
    </r>
    <r>
      <rPr>
        <b/>
        <i/>
        <sz val="10"/>
        <color rgb="FF1F1F1F"/>
        <rFont val="Cambria"/>
        <family val="1"/>
      </rPr>
      <t>Điền sản:</t>
    </r>
    <r>
      <rPr>
        <sz val="10"/>
        <color rgb="FF1F1F1F"/>
        <rFont val="Cambria"/>
        <family val="1"/>
      </rPr>
      <t xml:space="preserve"> Phải hoàn thành xây dựng và đủ điều kiện vận hành trước quý 4 năm 2027. Chính sách áp dụng tối đa 12 tháng kể từ ngày bàn giao, nhưng không quá quý 4 năm 2028.</t>
    </r>
  </si>
  <si>
    <r>
      <rPr>
        <b/>
        <u/>
        <sz val="10"/>
        <color rgb="FF1F1F1F"/>
        <rFont val="Cambria"/>
        <family val="1"/>
      </rPr>
      <t>Quyền lợi:</t>
    </r>
    <r>
      <rPr>
        <sz val="10"/>
        <color rgb="FF1F1F1F"/>
        <rFont val="Cambria"/>
        <family val="1"/>
      </rPr>
      <t xml:space="preserve">
- Lựa chọn gói hợp tác 90, 120 hoặc 150 đêm/năm.
- MDS Living trực tiếp khai thác, thanh toán hằng quý theo điểm thực tế được xác nhận.
- Đơn giá quy đổi: 3.000.000 VNĐ/điểm; hạn mức tối đa tương ứng 120, 160 hoặc 200 điểm trong thời gian áp dụng.</t>
    </r>
  </si>
  <si>
    <t>1. Hợp tác khai thác lưu trú</t>
  </si>
  <si>
    <r>
      <rPr>
        <b/>
        <u/>
        <sz val="10"/>
        <color rgb="FF1F1F1F"/>
        <rFont val="Cambria"/>
        <family val="1"/>
      </rPr>
      <t>Quyền lợi:</t>
    </r>
    <r>
      <rPr>
        <sz val="10"/>
        <color rgb="FF1F1F1F"/>
        <rFont val="Cambria"/>
        <family val="1"/>
      </rPr>
      <t xml:space="preserve">
- MDS Living thuê lại và trực tiếp khai thác 30 phòng lưu trú.
- Đơn giá thuê: 4.000.000 VNĐ/phòng/tháng.
- Tổng tiền thuê: 120.000.000 VNĐ/tháng, thanh toán hằng tháng.</t>
    </r>
  </si>
  <si>
    <r>
      <t xml:space="preserve">- </t>
    </r>
    <r>
      <rPr>
        <b/>
        <u/>
        <sz val="10"/>
        <color rgb="FF1F1F1F"/>
        <rFont val="Cambria"/>
        <family val="1"/>
      </rPr>
      <t xml:space="preserve">Thời gian áp dụng: </t>
    </r>
    <r>
      <rPr>
        <sz val="10"/>
        <color rgb="FF1F1F1F"/>
        <rFont val="Cambria"/>
        <family val="1"/>
      </rPr>
      <t xml:space="preserve">12 tháng kể từ ngày tài sản đủ điều kiện bàn giao và kinh doanh lưu trú.
</t>
    </r>
    <r>
      <rPr>
        <b/>
        <u/>
        <sz val="10"/>
        <color rgb="FF1F1F1F"/>
        <rFont val="Cambria"/>
        <family val="1"/>
      </rPr>
      <t>- Điều kiện:</t>
    </r>
    <r>
      <rPr>
        <sz val="10"/>
        <color rgb="FF1F1F1F"/>
        <rFont val="Cambria"/>
        <family val="1"/>
      </rPr>
      <t xml:space="preserve"> Tài sản hoàn thiện nội thất, đáp ứng tiêu chuẩn vận hành và điều kiện pháp lý theo thỏa thuận trong Hợp đồng thuê tài sản.</t>
    </r>
  </si>
  <si>
    <t>VI. THÔNG TIN XÁC NHẬN</t>
  </si>
  <si>
    <t>Sài Gòn Farm Resort kiến tạo hệ sinh thái bất động sản nghỉ dưỡng với đa dạng lựa chọn sở hữu, từ Biệt phủ nghỉ dưỡng đến Điền sản đầu tư. Cùng chính sách thanh toán linh hoạt và hệ thống dịch vụ MDS Living, khách hàng chủ động lựa chọn phương án phù hợp với kế hoạch tài chính và mục tiêu sở hữu.</t>
  </si>
  <si>
    <t>Linh hoạt phương án thanh toán – Tối ưu kế hoạch tài chính</t>
  </si>
  <si>
    <t>1.</t>
  </si>
  <si>
    <t>Phương án 1 – Khởi đầu an nhàn - Khởi đầu hành trình sở hữu với 200 triệu đồng.</t>
  </si>
  <si>
    <t>Trong vòng 10 ngày kể từ ngày cọc</t>
  </si>
  <si>
    <t>Trong vòng 2 tháng kể từ ngày ký HĐ đặt cọc</t>
  </si>
  <si>
    <t>Trong vòng 4 tháng kể từ ngày ký HĐ đặt cọc</t>
  </si>
  <si>
    <t>Trong vòng 6 tháng kể từ ngày ký HĐ đặt cọc</t>
  </si>
  <si>
    <t>Trong vòng 8 tháng kể từ ngày ký HĐ đặt cọc</t>
  </si>
  <si>
    <t>Trong vòng 12 tháng kể từ ngày ký HĐ đặt cọc</t>
  </si>
  <si>
    <t>Ưu đãi được khấu trừ trực tiếp vào giá bán tại thời điểm ký Hợp đồng đặt cọc.</t>
  </si>
  <si>
    <t>Trong vòng 12 tháng kể từ ngày ký HĐ chuyển nhượng QSDĐ</t>
  </si>
  <si>
    <t>Ưu đãi được khấu trừ trực tiếp vào giá bán tại thời điểm ký HĐ chuyển nhượng QSDĐ.</t>
  </si>
  <si>
    <t>Trong vòng 20 ngày kể từ ngày đặt cọc</t>
  </si>
  <si>
    <t xml:space="preserve">2. </t>
  </si>
  <si>
    <t>Phương án 2 – Chủ động tài chính</t>
  </si>
  <si>
    <t>3.</t>
  </si>
  <si>
    <t xml:space="preserve">Phương án 3 – Thanh toán ưu việt </t>
  </si>
  <si>
    <t>4.</t>
  </si>
  <si>
    <t>Phương án 4 – Thanh toán tinh gọn</t>
  </si>
  <si>
    <t>5.</t>
  </si>
  <si>
    <r>
      <t xml:space="preserve">Tiến độ thanh toán giá trị xây dựng </t>
    </r>
    <r>
      <rPr>
        <i/>
        <sz val="11"/>
        <color theme="1"/>
        <rFont val="Amasis MT Pro"/>
        <family val="1"/>
      </rPr>
      <t>(áp dụng đối với sản phẩm Biệt phủ có xây dựng theo hợp đồng thi công).</t>
    </r>
  </si>
  <si>
    <t>Trong vòng 2 tháng kể từ ngày ký HĐ thi công</t>
  </si>
  <si>
    <t>Trong vòng 4 tháng kể từ ngày ký HĐ thi công</t>
  </si>
  <si>
    <t>Trong vòng 6 tháng kể từ ngày ký HĐ thi công</t>
  </si>
  <si>
    <t>Trong vòng 8 tháng kể từ ngày ký HĐ thi công</t>
  </si>
  <si>
    <t>Ký Hợp đồng thi công</t>
  </si>
  <si>
    <t>Hoàn thành phần móng</t>
  </si>
  <si>
    <t>Hoàn thành phần thô</t>
  </si>
  <si>
    <t>Hoàn thiện mặt ngoài</t>
  </si>
  <si>
    <t>Nghiệm thu, bàn giao nhà theo hợp đồng</t>
  </si>
  <si>
    <t>6.</t>
  </si>
  <si>
    <t>Chương trình đồng hành khai thác</t>
  </si>
  <si>
    <t>Sở hữu tài sản – Đồng hành khai thác – Chia sẻ doanh thu</t>
  </si>
  <si>
    <t>(a).</t>
  </si>
  <si>
    <t>Lựa chọn 1: Đồng hành kinh doanh</t>
  </si>
  <si>
    <t>MDS Living trực tiếp tổ chức và quản lý hoạt động kinh doanh lưu trú, bao gồm:</t>
  </si>
  <si>
    <r>
      <rPr>
        <b/>
        <i/>
        <u/>
        <sz val="11"/>
        <color theme="1"/>
        <rFont val="Amasis MT Pro"/>
        <family val="1"/>
      </rPr>
      <t>Cơ chế hợp tác:</t>
    </r>
    <r>
      <rPr>
        <i/>
        <sz val="11"/>
        <color theme="1"/>
        <rFont val="Amasis MT Pro"/>
        <family val="1"/>
      </rPr>
      <t xml:space="preserve"> Doanh thu khai thác được phân chia giữa Chủ sở hữu và MDS Living theo tỷ lệ, phương thức đối soát và thời hạn thanh toán được các bên thống nhất tại Hợp đồng hợp tác khai thác.
Thu nhập của Chủ sở hữu phụ thuộc vào kết quả khai thác thực tế; không cam kết doanh thu cố định, trừ trường hợp có thỏa thuận khác bằng văn bản.</t>
    </r>
  </si>
  <si>
    <t>Lựa chọn 2 - Ủy thác vận hành an nhàn</t>
  </si>
  <si>
    <t>(b).</t>
  </si>
  <si>
    <t xml:space="preserve">Sở hữu tài sản – Chủ động dòng tiền – An tâm khai thác </t>
  </si>
  <si>
    <t>MDS Living trực tiếp khai thác và vận hành biệt thự. Chủ sở hữu lựa chọn gói hợp tác, bàn giao đêm lưu trú theo cơ cấu ngày quy định và nhận thanh toán hằng quý theo điểm khai thác được xác nhận.</t>
  </si>
  <si>
    <t>Số đêm bàn giao/năm</t>
  </si>
  <si>
    <t>90 đêm</t>
  </si>
  <si>
    <t>120 đêm</t>
  </si>
  <si>
    <t>150 đêm</t>
  </si>
  <si>
    <t>Hạn mức và giá trị quy đổi tối đa</t>
  </si>
  <si>
    <t>120 điểm tương ứng với 360.000.000 VNĐ</t>
  </si>
  <si>
    <t>160 điểm tương ứng với 480.000.000 VNĐ</t>
  </si>
  <si>
    <t>200 điểm tương ứng với 600.000.000 VNĐ</t>
  </si>
  <si>
    <t>Gói</t>
  </si>
  <si>
    <t>An Viên</t>
  </si>
  <si>
    <t>Phú Quý</t>
  </si>
  <si>
    <t>Tinh Hoa Việt</t>
  </si>
  <si>
    <t>* Các gói hợp tác</t>
  </si>
  <si>
    <t>** Hệ số quy đổi điểm</t>
  </si>
  <si>
    <t>Nhóm ngày</t>
  </si>
  <si>
    <t>Điểm/đêm</t>
  </si>
  <si>
    <t>1 điểm</t>
  </si>
  <si>
    <t>1,5 điểm</t>
  </si>
  <si>
    <t>2 điểm</t>
  </si>
  <si>
    <t>Ngày Lễ/Tết trùng thứ Sáu hoặc Chủ nhật được xếp vào nhóm Cuối tuần, Lễ/Tết và chỉ tính điểm một lần.</t>
  </si>
  <si>
    <t>Ngày thường (Thứ Hai – Thứ Năm)</t>
  </si>
  <si>
    <t>Cao điểm (Thứ Sáu, Chủ nhật)</t>
  </si>
  <si>
    <t>Cuối tuần, Lễ/Tết (Thứ Bảy và ngày Lễ/Tết theo quy định Nhà nước)</t>
  </si>
  <si>
    <t>*** Nguyên tắc thanh toán</t>
  </si>
  <si>
    <r>
      <t xml:space="preserve">- Thanh toán theo quý, căn cứ số điểm thực tế được hai bên xác nhận.
- Công thức: Tiền thanh toán = Tổng điểm được xác nhận trong quý × </t>
    </r>
    <r>
      <rPr>
        <b/>
        <sz val="11"/>
        <color theme="1"/>
        <rFont val="Amasis MT Pro"/>
        <family val="1"/>
      </rPr>
      <t>3.000.000 VNĐ.</t>
    </r>
    <r>
      <rPr>
        <sz val="11"/>
        <color theme="1"/>
        <rFont val="Amasis MT Pro"/>
        <family val="1"/>
      </rPr>
      <t xml:space="preserve">
- Tổng điểm thanh toán trong 12 tháng không vượt hạn mức của gói đã lựa chọn.
- Lịch bàn giao được thống nhất trước với MDS Living nhằm bảo đảm cơ cấu ngày khai thác.</t>
    </r>
  </si>
  <si>
    <t>**** Thời gian áp dụng:</t>
  </si>
  <si>
    <t>- Biệt phủ (đất + xây dựng): 12 tháng kể từ ngày bàn giao nhà đủ điều kiện vận hành.
- Điền sản (đất): Hoàn thành xây dựng và đủ điều kiện vận hành chậm nhất ngày 31/12/2027. Chính sách áp dụng 12 tháng kể từ ngày bàn giao, nhưng không quá ngày 31/12/2028.</t>
  </si>
  <si>
    <t>GIẢI PHÁP SỞ HỮU SẢN PHẨM ĐIỀN AN</t>
  </si>
  <si>
    <t>II.</t>
  </si>
  <si>
    <t>III.</t>
  </si>
  <si>
    <t>GIẢI PHÁP SỞ HỮU BIỆT PHỦ VÀ ĐIỀN SẢN</t>
  </si>
  <si>
    <t>I.</t>
  </si>
  <si>
    <t>Thanh toán giá trị quyền sử dụng đất</t>
  </si>
  <si>
    <t>Thanh toán giá trị công trình xây dựng</t>
  </si>
  <si>
    <t>Sau 4 tháng kể từ ngày ký HĐ đặt cọc</t>
  </si>
  <si>
    <t>Trong vòng 12 tháng kể từ ngày ký HĐ thi công</t>
  </si>
  <si>
    <t>Chương trình hợp thác khai thác lưu trú “Sở hữu tài sản – An tâm dòng tiền”</t>
  </si>
  <si>
    <t>CHÍNH SÁCH THUÊ LẠI</t>
  </si>
  <si>
    <t>GIÁ TRỊ</t>
  </si>
  <si>
    <t>Quy mô</t>
  </si>
  <si>
    <t>30 phòng lưu trú</t>
  </si>
  <si>
    <t>Đơn giá thuê</t>
  </si>
  <si>
    <t>4.000.000 VNĐ/phòng/tháng</t>
  </si>
  <si>
    <t>Thời hạn áp dụng</t>
  </si>
  <si>
    <t>12 tháng đầu tiên</t>
  </si>
  <si>
    <t>Thanh toán</t>
  </si>
  <si>
    <t>Hằng quý</t>
  </si>
  <si>
    <t>MDS Living triển khai chương trình thuê lại tài sản lưu trú dành cho khách hàng đầu tư xây dựng theo tiêu chuẩn vận hành của MDS Living.</t>
  </si>
  <si>
    <t>BỘ ĐẶC QUYỀN DÀNH CHUNG CHO CHỦ SỞ HỮU SÀI GÒN FARM RESORT</t>
  </si>
  <si>
    <t>Đặc quyền Khởi đầu an nhàn – 24 tháng đồng hành vận hành</t>
  </si>
  <si>
    <t>Chủ sở hữu được hưởng các quyền lợi đặc biệt:</t>
  </si>
  <si>
    <t xml:space="preserve"> « Hỗ trợ chăm sóc, bảo quản tài sản theo tiêu chuẩn Farm Resort.</t>
  </si>
  <si>
    <r>
      <rPr>
        <i/>
        <u/>
        <sz val="11"/>
        <color theme="1"/>
        <rFont val="Amasis MT Pro"/>
        <family val="1"/>
      </rPr>
      <t>Thời gian áp dụng:</t>
    </r>
    <r>
      <rPr>
        <i/>
        <sz val="11"/>
        <color theme="1"/>
        <rFont val="Amasis MT Pro"/>
        <family val="1"/>
      </rPr>
      <t xml:space="preserve"> 24 tháng kể từ ngày ký công chứng Hợp đồng chuyển nhượng Quyền sử dụng đất.</t>
    </r>
  </si>
  <si>
    <t>Đặc quyền Lifestyle – Trải nghiệm chuẩn sống Farm Resort</t>
  </si>
  <si>
    <t>Đặc quyền kiến tạo không gian sống – Giá trị đến 800.000.000 VNĐ</t>
  </si>
  <si>
    <t xml:space="preserve">	Chủ sở hữu được trải nghiệm hệ sinh thái dịch vụ và tiện ích của MDS Living, bao gồm:</t>
  </si>
  <si>
    <r>
      <rPr>
        <i/>
        <u/>
        <sz val="11"/>
        <color theme="1"/>
        <rFont val="Amasis MT Pro"/>
        <family val="1"/>
      </rPr>
      <t xml:space="preserve">Thời gian áp dụng: </t>
    </r>
    <r>
      <rPr>
        <i/>
        <sz val="11"/>
        <color theme="1"/>
        <rFont val="Amasis MT Pro"/>
        <family val="1"/>
      </rPr>
      <t>24 tháng kể từ ngày ký công chứng Hợp đồng chuyển nhượng quyền sử dụng đất. Quyền lợi cụ thể được áp dụng theo chính sách và điều kiện sử dụng dịch vụ của MDS Living.</t>
    </r>
  </si>
  <si>
    <t>Chủ sở hữu được hưởng gói ưu đãi hoàn thiện nội thất trị giá đến 800.000.000 VNĐ, với hai phương án lựa chọn:</t>
  </si>
  <si>
    <t xml:space="preserve"> « Phương án 2: Hoàn thiện nội thất theo tiêu chuẩn thiết kế và vận hành của MDS Living</t>
  </si>
  <si>
    <t>Giá trị ưu đãi và điều kiện áp dụng cụ thể theo từng sản phẩm và Chính sách bán hàng được phê duyệt.</t>
  </si>
  <si>
    <t xml:space="preserve"> « Quản lý vận hành biệt thự.</t>
  </si>
  <si>
    <t xml:space="preserve"> « Marketing và quảng bá</t>
  </si>
  <si>
    <t xml:space="preserve"> « Khai thác, quản lý khách lưu trú.</t>
  </si>
  <si>
    <t xml:space="preserve"> « Chăm sóc khách hàng.</t>
  </si>
  <si>
    <t xml:space="preserve"> « Quản lý và báo cáo doanh thu.</t>
  </si>
  <si>
    <t xml:space="preserve"> « Miễn phí quản lý vận hành trong 24 tháng</t>
  </si>
  <si>
    <t xml:space="preserve"> « Được đồng hành bởi hệ thống quản lý và vận hành chuyên nghiệp của MDS Living.</t>
  </si>
  <si>
    <t xml:space="preserve"> « Dịch vụ Quản gia theo tiêu chuẩn Farm Resort.</t>
  </si>
  <si>
    <t xml:space="preserve"> « Trải nghiệm nông sản sạch từ Organic Farm.</t>
  </si>
  <si>
    <t xml:space="preserve"> « Tiếp cận các tiện ích và dịch vụ dành riêng cho chủ sở hữu theo chính sách của MDS Living.</t>
  </si>
  <si>
    <t xml:space="preserve"> « Phương án 1: Quy đổi thành giá trị giảm trừ trực tiếp vào giá bán.</t>
  </si>
  <si>
    <r>
      <t>Điều kiện:</t>
    </r>
    <r>
      <rPr>
        <sz val="11"/>
        <color theme="1"/>
        <rFont val="Amasis MT Pro"/>
        <family val="1"/>
      </rPr>
      <t xml:space="preserve"> Tài sản hoàn thiện nội thất theo tiêu chuẩn, đáp ứng đầy đủ điều kiện pháp lý, an toàn và kinh doanh lưu trú. Thời điểm bắt đầu tính tiền thuê được xác định theo biên bản nghiệm thu và Hợp đồng thuê tài sản giữa hai bên.</t>
    </r>
  </si>
  <si>
    <t>VI. CHƯƠNG TRÌNH HỢP TÁC KHAI THÁC LƯU TRÚ DÀNH CHO DÒNG SẢN PHẨM ĐIỀN 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</si>
</sst>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 #,##0.00_-;_-* &quot;-&quot;??_-;_-@_-"/>
    <numFmt numFmtId="164" formatCode="_(* #,##0_);_(* \(#,##0\);_(* &quot;-&quot;_);_(@_)"/>
    <numFmt numFmtId="165" formatCode="_(* #,##0.00_);_(* \(#,##0.00\);_(* &quot;-&quot;??_);_(@_)"/>
    <numFmt numFmtId="166" formatCode="_(* #,##0_);_(* \(#,##0\);_(* &quot;-&quot;??_);_(@_)"/>
    <numFmt numFmtId="167" formatCode="_(* #,##0.0_);_(* \(#,##0.0\);_(* &quot;-&quot;??_);_(@_)"/>
    <numFmt numFmtId="168" formatCode="0.0%"/>
    <numFmt numFmtId="169" formatCode="&quot; &quot;* #,##0.0&quot; &quot;;&quot; &quot;* \(#,##0.0\);&quot; &quot;* &quot;-&quot;??&quot; &quot;"/>
    <numFmt numFmtId="170" formatCode="&quot; &quot;* #,##0&quot; &quot;;&quot; &quot;* \(#,##0\);&quot; &quot;* &quot;-&quot;??&quot; &quot;"/>
    <numFmt numFmtId="171" formatCode="_-* #,##0_-;\-* #,##0_-;_-* &quot;-&quot;??_-;_-@_-"/>
    <numFmt numFmtId="172" formatCode="#,##0;[Red]\(#,##0\);\-"/>
    <numFmt numFmtId="173" formatCode="0.0"/>
    <numFmt numFmtId="174" formatCode="#,##0\ &quot;đ&quot;"/>
  </numFmts>
  <fonts count="59">
    <font>
      <sz val="10"/>
      <color theme="1"/>
      <name val="Times New Roman"/>
      <family val="2"/>
    </font>
    <font>
      <sz val="11"/>
      <color theme="1"/>
      <name val="Arial"/>
      <family val="2"/>
      <scheme val="minor"/>
    </font>
    <font>
      <sz val="10"/>
      <color theme="1"/>
      <name val="Times New Roman"/>
      <family val="2"/>
    </font>
    <font>
      <sz val="12"/>
      <color theme="1"/>
      <name val="Times New Roman"/>
      <family val="1"/>
    </font>
    <font>
      <sz val="8"/>
      <name val="Times New Roman"/>
      <family val="2"/>
    </font>
    <font>
      <b/>
      <sz val="12"/>
      <color theme="1"/>
      <name val="Times New Roman"/>
      <family val="1"/>
    </font>
    <font>
      <sz val="12"/>
      <color rgb="FFFF0000"/>
      <name val="Times New Roman"/>
      <family val="1"/>
    </font>
    <font>
      <b/>
      <sz val="14"/>
      <color theme="1"/>
      <name val="Times New Roman"/>
      <family val="1"/>
    </font>
    <font>
      <b/>
      <sz val="11"/>
      <color theme="1"/>
      <name val="Times New Roman"/>
      <family val="1"/>
    </font>
    <font>
      <sz val="11"/>
      <color theme="1"/>
      <name val="Times New Roman"/>
      <family val="1"/>
    </font>
    <font>
      <sz val="11"/>
      <color theme="1"/>
      <name val="Amasis MT Pro"/>
      <family val="1"/>
    </font>
    <font>
      <sz val="10"/>
      <color rgb="FF000000"/>
      <name val="Tahoma"/>
      <family val="2"/>
    </font>
    <font>
      <b/>
      <sz val="10"/>
      <color rgb="FF000000"/>
      <name val="Tahoma"/>
      <family val="2"/>
    </font>
    <font>
      <b/>
      <sz val="11"/>
      <color theme="1"/>
      <name val="Amasis MT Pro"/>
      <family val="1"/>
    </font>
    <font>
      <b/>
      <sz val="18"/>
      <color rgb="FF134F5C"/>
      <name val="Times New Roman"/>
      <family val="1"/>
    </font>
    <font>
      <sz val="10"/>
      <name val="Arial"/>
      <family val="2"/>
    </font>
    <font>
      <sz val="13"/>
      <color rgb="FF134F5C"/>
      <name val="Times New Roman"/>
      <family val="1"/>
    </font>
    <font>
      <b/>
      <sz val="12"/>
      <color rgb="FFE69138"/>
      <name val="Times New Roman"/>
      <family val="1"/>
    </font>
    <font>
      <b/>
      <u/>
      <sz val="12"/>
      <color theme="1"/>
      <name val="Times New Roman"/>
      <family val="1"/>
    </font>
    <font>
      <sz val="10"/>
      <color theme="1"/>
      <name val="Times New Roman"/>
      <family val="1"/>
    </font>
    <font>
      <i/>
      <sz val="12"/>
      <color theme="1"/>
      <name val="Times New Roman"/>
      <family val="1"/>
    </font>
    <font>
      <sz val="11"/>
      <color theme="1"/>
      <name val="&quot;Helvetica Neue&quot;"/>
    </font>
    <font>
      <b/>
      <sz val="20"/>
      <color rgb="FF002F59"/>
      <name val="&quot;Times New Roman&quot;"/>
    </font>
    <font>
      <b/>
      <sz val="15"/>
      <color rgb="FF002F59"/>
      <name val="&quot;Times New Roman&quot;"/>
    </font>
    <font>
      <sz val="10"/>
      <color theme="1"/>
      <name val="Arial"/>
      <family val="2"/>
    </font>
    <font>
      <sz val="14"/>
      <color theme="1"/>
      <name val="Times New Roman"/>
      <family val="1"/>
    </font>
    <font>
      <sz val="13"/>
      <color theme="1"/>
      <name val="Times New Roman"/>
      <family val="1"/>
    </font>
    <font>
      <b/>
      <sz val="12"/>
      <color rgb="FF980000"/>
      <name val="Times New Roman"/>
      <family val="1"/>
    </font>
    <font>
      <b/>
      <u/>
      <sz val="10"/>
      <name val="Arial"/>
      <family val="2"/>
    </font>
    <font>
      <sz val="14"/>
      <color rgb="FF000000"/>
      <name val="-webkit-standard"/>
    </font>
    <font>
      <sz val="11"/>
      <color theme="1"/>
      <name val="Arial"/>
      <family val="2"/>
      <charset val="163"/>
      <scheme val="minor"/>
    </font>
    <font>
      <b/>
      <sz val="14"/>
      <color theme="1"/>
      <name val="Amasis MT Pro"/>
      <family val="1"/>
    </font>
    <font>
      <b/>
      <sz val="11"/>
      <color rgb="FF000000"/>
      <name val="Amasis MT Pro"/>
      <family val="1"/>
    </font>
    <font>
      <i/>
      <sz val="11"/>
      <color rgb="FF000000"/>
      <name val="Amasis MT Pro"/>
      <family val="1"/>
    </font>
    <font>
      <i/>
      <sz val="11"/>
      <color theme="1"/>
      <name val="Amasis MT Pro"/>
      <family val="1"/>
    </font>
    <font>
      <b/>
      <sz val="11"/>
      <color theme="1" tint="4.9989318521683403E-2"/>
      <name val="Times New Roman"/>
      <family val="1"/>
    </font>
    <font>
      <sz val="11"/>
      <color theme="1" tint="4.9989318521683403E-2"/>
      <name val="Times New Roman"/>
      <family val="1"/>
    </font>
    <font>
      <sz val="11"/>
      <color theme="1"/>
      <name val="Calibri"/>
      <family val="2"/>
    </font>
    <font>
      <b/>
      <sz val="16"/>
      <color rgb="FFFFFFFF"/>
      <name val="Cambria"/>
      <family val="1"/>
    </font>
    <font>
      <sz val="10"/>
      <color rgb="FF1F2937"/>
      <name val="Cambria"/>
      <family val="1"/>
    </font>
    <font>
      <b/>
      <sz val="10"/>
      <color rgb="FF7F6000"/>
      <name val="Cambria"/>
      <family val="1"/>
    </font>
    <font>
      <b/>
      <sz val="10"/>
      <color rgb="FFFFFFFF"/>
      <name val="Cambria"/>
      <family val="1"/>
    </font>
    <font>
      <b/>
      <sz val="10"/>
      <color rgb="FF1F4E78"/>
      <name val="Cambria"/>
      <family val="1"/>
    </font>
    <font>
      <sz val="10"/>
      <color rgb="FF1F1F1F"/>
      <name val="Cambria"/>
      <family val="1"/>
    </font>
    <font>
      <b/>
      <sz val="10"/>
      <color rgb="FF1F1F1F"/>
      <name val="Cambria"/>
      <family val="1"/>
    </font>
    <font>
      <b/>
      <i/>
      <sz val="10"/>
      <color rgb="FFC00000"/>
      <name val="Cambria"/>
      <family val="1"/>
    </font>
    <font>
      <sz val="10"/>
      <color theme="1"/>
      <name val="Cambria"/>
      <family val="1"/>
    </font>
    <font>
      <sz val="10"/>
      <color rgb="FF263746"/>
      <name val="Cambria"/>
      <family val="1"/>
    </font>
    <font>
      <b/>
      <sz val="10"/>
      <color rgb="FF1F2937"/>
      <name val="Cambria"/>
      <family val="1"/>
    </font>
    <font>
      <i/>
      <sz val="10"/>
      <color rgb="FF4B5563"/>
      <name val="Cambria"/>
      <family val="1"/>
    </font>
    <font>
      <i/>
      <sz val="10"/>
      <color rgb="FF595959"/>
      <name val="Cambria"/>
      <family val="1"/>
    </font>
    <font>
      <sz val="10"/>
      <color rgb="FF595959"/>
      <name val="Cambria"/>
      <family val="1"/>
    </font>
    <font>
      <b/>
      <u/>
      <sz val="10"/>
      <color rgb="FF1F1F1F"/>
      <name val="Cambria"/>
      <family val="1"/>
    </font>
    <font>
      <b/>
      <i/>
      <sz val="10"/>
      <color rgb="FF1F1F1F"/>
      <name val="Cambria"/>
      <family val="1"/>
    </font>
    <font>
      <b/>
      <i/>
      <sz val="11"/>
      <color theme="1"/>
      <name val="Amasis MT Pro"/>
      <family val="1"/>
    </font>
    <font>
      <b/>
      <i/>
      <u/>
      <sz val="11"/>
      <color theme="1"/>
      <name val="Amasis MT Pro"/>
      <family val="1"/>
    </font>
    <font>
      <i/>
      <u/>
      <sz val="11"/>
      <color theme="1"/>
      <name val="Amasis MT Pro"/>
      <family val="1"/>
    </font>
    <font>
      <b/>
      <sz val="11"/>
      <color rgb="FFFF0000"/>
      <name val="Amasis MT Pro"/>
      <family val="1"/>
    </font>
    <font>
      <b/>
      <i/>
      <sz val="10"/>
      <color rgb="FFFF0000"/>
      <name val="Cambria"/>
      <family val="1"/>
    </font>
  </fonts>
  <fills count="30">
    <fill>
      <patternFill patternType="none"/>
    </fill>
    <fill>
      <patternFill patternType="gray125"/>
    </fill>
    <fill>
      <patternFill patternType="solid">
        <fgColor theme="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FFFF"/>
        <bgColor rgb="FFFFFFFF"/>
      </patternFill>
    </fill>
    <fill>
      <patternFill patternType="solid">
        <fgColor rgb="FFBCE3D9"/>
        <bgColor rgb="FFBCE3D9"/>
      </patternFill>
    </fill>
    <fill>
      <patternFill patternType="solid">
        <fgColor rgb="FF176956"/>
        <bgColor rgb="FF176956"/>
      </patternFill>
    </fill>
    <fill>
      <patternFill patternType="solid">
        <fgColor theme="5" tint="0.39997558519241921"/>
        <bgColor rgb="FFBCE3D9"/>
      </patternFill>
    </fill>
    <fill>
      <patternFill patternType="solid">
        <fgColor theme="6" tint="0.79998168889431442"/>
        <bgColor rgb="FFFFFFFF"/>
      </patternFill>
    </fill>
    <fill>
      <patternFill patternType="solid">
        <fgColor theme="5" tint="0.39997558519241921"/>
        <bgColor indexed="64"/>
      </patternFill>
    </fill>
    <fill>
      <patternFill patternType="solid">
        <fgColor theme="5" tint="0.39997558519241921"/>
        <bgColor rgb="FFFFFFFF"/>
      </patternFill>
    </fill>
    <fill>
      <patternFill patternType="solid">
        <fgColor theme="6" tint="0.59999389629810485"/>
        <bgColor rgb="FFFFFFFF"/>
      </patternFill>
    </fill>
    <fill>
      <patternFill patternType="solid">
        <fgColor theme="6" tint="0.59999389629810485"/>
        <bgColor indexed="64"/>
      </patternFill>
    </fill>
    <fill>
      <patternFill patternType="solid">
        <fgColor theme="5" tint="-0.499984740745262"/>
        <bgColor rgb="FFFF9900"/>
      </patternFill>
    </fill>
    <fill>
      <patternFill patternType="solid">
        <fgColor theme="5" tint="-0.499984740745262"/>
        <bgColor indexed="64"/>
      </patternFill>
    </fill>
    <fill>
      <patternFill patternType="solid">
        <fgColor rgb="FFB4C6E7"/>
        <bgColor indexed="64"/>
      </patternFill>
    </fill>
    <fill>
      <patternFill patternType="solid">
        <fgColor theme="8" tint="0.39997558519241921"/>
        <bgColor indexed="64"/>
      </patternFill>
    </fill>
    <fill>
      <patternFill patternType="solid">
        <fgColor rgb="FF1F4E78"/>
      </patternFill>
    </fill>
    <fill>
      <patternFill patternType="solid">
        <fgColor rgb="FFD9EAF7"/>
      </patternFill>
    </fill>
    <fill>
      <patternFill patternType="solid">
        <fgColor rgb="FFD9E1F2"/>
      </patternFill>
    </fill>
    <fill>
      <patternFill patternType="solid">
        <fgColor rgb="FFF2F6FA"/>
      </patternFill>
    </fill>
    <fill>
      <patternFill patternType="solid">
        <fgColor rgb="FFFFFFFF"/>
      </patternFill>
    </fill>
    <fill>
      <patternFill patternType="solid">
        <fgColor rgb="FFFFF2CC"/>
      </patternFill>
    </fill>
    <fill>
      <patternFill patternType="solid">
        <fgColor rgb="FFE2F0D9"/>
      </patternFill>
    </fill>
    <fill>
      <patternFill patternType="solid">
        <fgColor rgb="FFC6E0B4"/>
      </patternFill>
    </fill>
    <fill>
      <patternFill patternType="solid">
        <fgColor theme="8" tint="0.59999389629810485"/>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rgb="FF000000"/>
      </left>
      <right style="thin">
        <color rgb="FF000000"/>
      </right>
      <top/>
      <bottom style="thin">
        <color rgb="FF000000"/>
      </bottom>
      <diagonal/>
    </border>
    <border>
      <left/>
      <right/>
      <top style="thin">
        <color indexed="64"/>
      </top>
      <bottom style="thin">
        <color indexed="64"/>
      </bottom>
      <diagonal/>
    </border>
    <border>
      <left style="thin">
        <color rgb="FFFFFFFF"/>
      </left>
      <right style="thin">
        <color rgb="FFFFFFFF"/>
      </right>
      <top style="thin">
        <color rgb="FFFFFFFF"/>
      </top>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bottom/>
      <diagonal/>
    </border>
    <border>
      <left/>
      <right/>
      <top/>
      <bottom style="thin">
        <color rgb="FFFFFFFF"/>
      </bottom>
      <diagonal/>
    </border>
    <border>
      <left/>
      <right style="thin">
        <color rgb="FFFFFFFF"/>
      </right>
      <top/>
      <bottom style="thin">
        <color rgb="FFFFFFFF"/>
      </bottom>
      <diagonal/>
    </border>
    <border>
      <left style="thin">
        <color rgb="FFFFFFFF"/>
      </left>
      <right style="thin">
        <color rgb="FFFFFFFF"/>
      </right>
      <top/>
      <bottom style="thin">
        <color rgb="FFFFFFFF"/>
      </bottom>
      <diagonal/>
    </border>
    <border>
      <left style="thin">
        <color rgb="FFFFFFFF"/>
      </left>
      <right/>
      <top style="thin">
        <color rgb="FFFFFFFF"/>
      </top>
      <bottom/>
      <diagonal/>
    </border>
    <border>
      <left/>
      <right/>
      <top style="thin">
        <color rgb="FFFFFFFF"/>
      </top>
      <bottom/>
      <diagonal/>
    </border>
    <border>
      <left/>
      <right style="thin">
        <color rgb="FFFFFFFF"/>
      </right>
      <top style="thin">
        <color rgb="FFFFFFFF"/>
      </top>
      <bottom/>
      <diagonal/>
    </border>
    <border>
      <left style="thin">
        <color rgb="FF666666"/>
      </left>
      <right/>
      <top style="thin">
        <color rgb="FF666666"/>
      </top>
      <bottom style="thin">
        <color rgb="FF666666"/>
      </bottom>
      <diagonal/>
    </border>
    <border>
      <left/>
      <right/>
      <top style="thin">
        <color rgb="FF666666"/>
      </top>
      <bottom style="thin">
        <color rgb="FF666666"/>
      </bottom>
      <diagonal/>
    </border>
    <border>
      <left/>
      <right style="thin">
        <color rgb="FF666666"/>
      </right>
      <top style="thin">
        <color rgb="FF666666"/>
      </top>
      <bottom style="thin">
        <color rgb="FF666666"/>
      </bottom>
      <diagonal/>
    </border>
    <border>
      <left style="thin">
        <color rgb="FF666666"/>
      </left>
      <right style="thin">
        <color rgb="FF666666"/>
      </right>
      <top style="thin">
        <color rgb="FF666666"/>
      </top>
      <bottom/>
      <diagonal/>
    </border>
    <border>
      <left style="thin">
        <color rgb="FF666666"/>
      </left>
      <right/>
      <top style="thin">
        <color rgb="FF666666"/>
      </top>
      <bottom/>
      <diagonal/>
    </border>
    <border>
      <left style="thin">
        <color rgb="FF666666"/>
      </left>
      <right style="thin">
        <color rgb="FF666666"/>
      </right>
      <top style="thin">
        <color rgb="FF666666"/>
      </top>
      <bottom style="thin">
        <color rgb="FF666666"/>
      </bottom>
      <diagonal/>
    </border>
    <border>
      <left/>
      <right/>
      <top style="thin">
        <color rgb="FF666666"/>
      </top>
      <bottom/>
      <diagonal/>
    </border>
    <border>
      <left/>
      <right style="thin">
        <color rgb="FF666666"/>
      </right>
      <top style="thin">
        <color rgb="FF666666"/>
      </top>
      <bottom/>
      <diagonal/>
    </border>
    <border>
      <left style="thin">
        <color rgb="FF666666"/>
      </left>
      <right/>
      <top/>
      <bottom/>
      <diagonal/>
    </border>
    <border>
      <left/>
      <right style="thin">
        <color rgb="FF000000"/>
      </right>
      <top style="thin">
        <color rgb="FF000000"/>
      </top>
      <bottom style="thin">
        <color rgb="FF000000"/>
      </bottom>
      <diagonal/>
    </border>
    <border>
      <left style="thin">
        <color rgb="FF666666"/>
      </left>
      <right/>
      <top/>
      <bottom style="thin">
        <color rgb="FF666666"/>
      </bottom>
      <diagonal/>
    </border>
    <border>
      <left/>
      <right/>
      <top/>
      <bottom style="thin">
        <color rgb="FF666666"/>
      </bottom>
      <diagonal/>
    </border>
    <border>
      <left style="thin">
        <color rgb="FFFFFFFF"/>
      </left>
      <right/>
      <top/>
      <bottom/>
      <diagonal/>
    </border>
    <border>
      <left style="thin">
        <color rgb="FFFFFFFF"/>
      </left>
      <right/>
      <top/>
      <bottom style="thin">
        <color rgb="FFFFFFFF"/>
      </bottom>
      <diagonal/>
    </border>
    <border>
      <left style="thin">
        <color rgb="FFFFFFFF"/>
      </left>
      <right/>
      <top style="thin">
        <color rgb="FFFFFFFF"/>
      </top>
      <bottom style="thin">
        <color rgb="FFFFFFFF"/>
      </bottom>
      <diagonal/>
    </border>
    <border>
      <left style="thin">
        <color rgb="FFFF9900"/>
      </left>
      <right style="thin">
        <color rgb="FFFF9900"/>
      </right>
      <top style="thin">
        <color rgb="FFFF9900"/>
      </top>
      <bottom style="thin">
        <color rgb="FFFF9900"/>
      </bottom>
      <diagonal/>
    </border>
    <border>
      <left style="thin">
        <color rgb="FFFFFFFF"/>
      </left>
      <right style="thin">
        <color rgb="FFFFFFFF"/>
      </right>
      <top style="thin">
        <color rgb="FFFFFFFF"/>
      </top>
      <bottom style="thin">
        <color rgb="FFFFFFFF"/>
      </bottom>
      <diagonal/>
    </border>
    <border>
      <left style="thin">
        <color rgb="FFFFFFFF"/>
      </left>
      <right/>
      <top style="thin">
        <color rgb="FF666666"/>
      </top>
      <bottom style="thin">
        <color rgb="FFFFFFFF"/>
      </bottom>
      <diagonal/>
    </border>
    <border>
      <left/>
      <right/>
      <top style="thin">
        <color rgb="FF666666"/>
      </top>
      <bottom style="thin">
        <color rgb="FFFFFFFF"/>
      </bottom>
      <diagonal/>
    </border>
    <border>
      <left/>
      <right style="thin">
        <color rgb="FFFFFFFF"/>
      </right>
      <top style="thin">
        <color rgb="FF666666"/>
      </top>
      <bottom style="thin">
        <color rgb="FFFFFFFF"/>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9CA3AF"/>
      </left>
      <right style="thin">
        <color rgb="FF9CA3AF"/>
      </right>
      <top style="thin">
        <color rgb="FF9CA3AF"/>
      </top>
      <bottom style="thin">
        <color rgb="FF9CA3AF"/>
      </bottom>
      <diagonal/>
    </border>
    <border>
      <left style="thin">
        <color rgb="FF9AA8B7"/>
      </left>
      <right style="thin">
        <color rgb="FF9AA8B7"/>
      </right>
      <top style="thin">
        <color rgb="FF9AA8B7"/>
      </top>
      <bottom style="thin">
        <color rgb="FF9AA8B7"/>
      </bottom>
      <diagonal/>
    </border>
    <border>
      <left style="thin">
        <color rgb="FF9CA3AF"/>
      </left>
      <right style="thin">
        <color rgb="FF9CA3AF"/>
      </right>
      <top style="thin">
        <color rgb="FF9CA3AF"/>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s>
  <cellStyleXfs count="9">
    <xf numFmtId="0" fontId="0" fillId="0" borderId="0"/>
    <xf numFmtId="165" fontId="2" fillId="0" borderId="0" applyFont="0" applyFill="0" applyBorder="0" applyAlignment="0" applyProtection="0"/>
    <xf numFmtId="9" fontId="2" fillId="0" borderId="0" applyFont="0" applyFill="0" applyBorder="0" applyAlignment="0" applyProtection="0"/>
    <xf numFmtId="0" fontId="1" fillId="0" borderId="0"/>
    <xf numFmtId="164" fontId="2" fillId="0" borderId="0" applyFont="0" applyFill="0" applyBorder="0" applyAlignment="0" applyProtection="0"/>
    <xf numFmtId="0" fontId="30" fillId="0" borderId="0"/>
    <xf numFmtId="43" fontId="30" fillId="0" borderId="0" applyFont="0" applyFill="0" applyBorder="0" applyAlignment="0" applyProtection="0"/>
    <xf numFmtId="9" fontId="30" fillId="0" borderId="0" applyFont="0" applyFill="0" applyBorder="0" applyAlignment="0" applyProtection="0"/>
    <xf numFmtId="0" fontId="37" fillId="0" borderId="0"/>
  </cellStyleXfs>
  <cellXfs count="360">
    <xf numFmtId="0" fontId="0" fillId="0" borderId="0" xfId="0"/>
    <xf numFmtId="0" fontId="9" fillId="0" borderId="0" xfId="0" applyFont="1" applyAlignment="1">
      <alignment vertical="center" wrapText="1"/>
    </xf>
    <xf numFmtId="0" fontId="9" fillId="0" borderId="0" xfId="0" applyFont="1" applyAlignment="1">
      <alignment vertical="center"/>
    </xf>
    <xf numFmtId="0" fontId="9" fillId="0" borderId="0" xfId="0" applyFont="1" applyAlignment="1">
      <alignment horizontal="right" vertical="center"/>
    </xf>
    <xf numFmtId="0" fontId="9" fillId="0" borderId="0" xfId="0" applyFont="1" applyAlignment="1">
      <alignment horizontal="center" vertical="center"/>
    </xf>
    <xf numFmtId="9" fontId="9" fillId="0" borderId="0" xfId="0" applyNumberFormat="1" applyFont="1" applyAlignment="1">
      <alignment vertical="center"/>
    </xf>
    <xf numFmtId="0" fontId="8" fillId="0" borderId="1" xfId="0" applyFont="1" applyBorder="1" applyAlignment="1">
      <alignment horizontal="center" vertical="center"/>
    </xf>
    <xf numFmtId="0" fontId="9" fillId="0" borderId="0" xfId="0" applyFont="1" applyAlignment="1">
      <alignment horizontal="center" vertical="center" wrapText="1"/>
    </xf>
    <xf numFmtId="0" fontId="8" fillId="0" borderId="1" xfId="0" applyFont="1" applyBorder="1" applyAlignment="1">
      <alignment horizontal="center" vertical="center" wrapText="1"/>
    </xf>
    <xf numFmtId="49" fontId="8" fillId="0" borderId="1" xfId="1" applyNumberFormat="1" applyFont="1" applyFill="1" applyBorder="1" applyAlignment="1">
      <alignment horizontal="center" vertical="center" wrapText="1"/>
    </xf>
    <xf numFmtId="165" fontId="8" fillId="0" borderId="1" xfId="1" applyFont="1" applyFill="1" applyBorder="1" applyAlignment="1">
      <alignment horizontal="center" vertical="center" wrapText="1"/>
    </xf>
    <xf numFmtId="0" fontId="8" fillId="0" borderId="6" xfId="0" applyFont="1" applyBorder="1" applyAlignment="1">
      <alignment horizontal="center" vertical="center" wrapText="1"/>
    </xf>
    <xf numFmtId="49" fontId="8" fillId="0" borderId="6" xfId="1" applyNumberFormat="1" applyFont="1" applyFill="1" applyBorder="1" applyAlignment="1">
      <alignment horizontal="right" vertical="center" wrapText="1"/>
    </xf>
    <xf numFmtId="165" fontId="8" fillId="0" borderId="6" xfId="1" applyFont="1" applyFill="1" applyBorder="1" applyAlignment="1">
      <alignment horizontal="center" vertical="center" wrapText="1"/>
    </xf>
    <xf numFmtId="0" fontId="8" fillId="0" borderId="2" xfId="0" applyFont="1" applyBorder="1" applyAlignment="1">
      <alignment horizontal="center" vertical="center" wrapText="1"/>
    </xf>
    <xf numFmtId="165" fontId="8" fillId="0" borderId="2" xfId="1" applyFont="1" applyFill="1" applyBorder="1" applyAlignment="1">
      <alignment horizontal="center" vertical="center" wrapText="1"/>
    </xf>
    <xf numFmtId="14" fontId="8" fillId="0" borderId="6" xfId="0" applyNumberFormat="1" applyFont="1" applyBorder="1" applyAlignment="1">
      <alignment horizontal="center" vertical="center" wrapText="1"/>
    </xf>
    <xf numFmtId="167" fontId="8" fillId="0" borderId="6" xfId="1" applyNumberFormat="1" applyFont="1" applyFill="1" applyBorder="1" applyAlignment="1">
      <alignment horizontal="center" vertical="center" wrapText="1"/>
    </xf>
    <xf numFmtId="49" fontId="5" fillId="9" borderId="22" xfId="0" applyNumberFormat="1" applyFont="1" applyFill="1" applyBorder="1" applyAlignment="1">
      <alignment horizontal="center" vertical="center" wrapText="1"/>
    </xf>
    <xf numFmtId="49" fontId="5" fillId="9" borderId="23" xfId="0" applyNumberFormat="1" applyFont="1" applyFill="1" applyBorder="1" applyAlignment="1">
      <alignment horizontal="center" vertical="center" wrapText="1"/>
    </xf>
    <xf numFmtId="49" fontId="5" fillId="9" borderId="24" xfId="0" applyNumberFormat="1" applyFont="1" applyFill="1" applyBorder="1" applyAlignment="1">
      <alignment horizontal="center" vertical="center" wrapText="1"/>
    </xf>
    <xf numFmtId="169" fontId="5" fillId="0" borderId="24" xfId="0" applyNumberFormat="1" applyFont="1" applyBorder="1" applyAlignment="1">
      <alignment horizontal="center" vertical="center"/>
    </xf>
    <xf numFmtId="169" fontId="3" fillId="0" borderId="24" xfId="0" applyNumberFormat="1" applyFont="1" applyBorder="1" applyAlignment="1">
      <alignment horizontal="center" vertical="center"/>
    </xf>
    <xf numFmtId="4" fontId="3" fillId="0" borderId="19" xfId="0" applyNumberFormat="1" applyFont="1" applyBorder="1" applyAlignment="1">
      <alignment horizontal="center" vertical="center"/>
    </xf>
    <xf numFmtId="14" fontId="3" fillId="0" borderId="24" xfId="0" applyNumberFormat="1" applyFont="1" applyBorder="1" applyAlignment="1">
      <alignment horizontal="center" vertical="center"/>
    </xf>
    <xf numFmtId="49" fontId="9" fillId="8" borderId="12" xfId="0" applyNumberFormat="1" applyFont="1" applyFill="1" applyBorder="1" applyAlignment="1">
      <alignment vertical="center" wrapText="1"/>
    </xf>
    <xf numFmtId="49" fontId="9" fillId="8" borderId="12" xfId="0" applyNumberFormat="1" applyFont="1" applyFill="1" applyBorder="1" applyAlignment="1">
      <alignment horizontal="center" vertical="center" wrapText="1"/>
    </xf>
    <xf numFmtId="0" fontId="5" fillId="9" borderId="24" xfId="0" applyFont="1" applyFill="1" applyBorder="1" applyAlignment="1">
      <alignment horizontal="center" vertical="center" wrapText="1"/>
    </xf>
    <xf numFmtId="3" fontId="5" fillId="9" borderId="22" xfId="0" applyNumberFormat="1" applyFont="1" applyFill="1" applyBorder="1" applyAlignment="1">
      <alignment horizontal="center" vertical="center" wrapText="1"/>
    </xf>
    <xf numFmtId="3" fontId="5" fillId="9" borderId="19" xfId="0" applyNumberFormat="1" applyFont="1" applyFill="1" applyBorder="1" applyAlignment="1">
      <alignment horizontal="center" vertical="center" wrapText="1"/>
    </xf>
    <xf numFmtId="3" fontId="5" fillId="0" borderId="20" xfId="0" applyNumberFormat="1" applyFont="1" applyBorder="1" applyAlignment="1">
      <alignment horizontal="center" vertical="center" wrapText="1"/>
    </xf>
    <xf numFmtId="3" fontId="3" fillId="0" borderId="19" xfId="0" applyNumberFormat="1" applyFont="1" applyBorder="1" applyAlignment="1">
      <alignment horizontal="center" vertical="center" wrapText="1"/>
    </xf>
    <xf numFmtId="0" fontId="3" fillId="0" borderId="24" xfId="0" applyFont="1" applyBorder="1" applyAlignment="1">
      <alignment horizontal="center" vertical="center" wrapText="1"/>
    </xf>
    <xf numFmtId="10" fontId="3" fillId="0" borderId="24" xfId="0" applyNumberFormat="1" applyFont="1" applyBorder="1" applyAlignment="1">
      <alignment horizontal="center" vertical="center" wrapText="1"/>
    </xf>
    <xf numFmtId="10" fontId="3" fillId="0" borderId="24" xfId="0" applyNumberFormat="1" applyFont="1" applyBorder="1" applyAlignment="1">
      <alignment vertical="center" wrapText="1"/>
    </xf>
    <xf numFmtId="3" fontId="5" fillId="0" borderId="19" xfId="0" applyNumberFormat="1" applyFont="1" applyBorder="1" applyAlignment="1">
      <alignment horizontal="center" vertical="center" wrapText="1"/>
    </xf>
    <xf numFmtId="0" fontId="3" fillId="9" borderId="24" xfId="0" applyFont="1" applyFill="1" applyBorder="1" applyAlignment="1">
      <alignment horizontal="center" vertical="center" wrapText="1"/>
    </xf>
    <xf numFmtId="10" fontId="5" fillId="9" borderId="24" xfId="0" applyNumberFormat="1" applyFont="1" applyFill="1" applyBorder="1" applyAlignment="1">
      <alignment vertical="center" wrapText="1"/>
    </xf>
    <xf numFmtId="0" fontId="3" fillId="9" borderId="24" xfId="0" applyFont="1" applyFill="1" applyBorder="1" applyAlignment="1">
      <alignment vertical="center" wrapText="1"/>
    </xf>
    <xf numFmtId="3" fontId="5" fillId="9" borderId="24" xfId="0" applyNumberFormat="1" applyFont="1" applyFill="1" applyBorder="1" applyAlignment="1">
      <alignment horizontal="center" vertical="center" wrapText="1"/>
    </xf>
    <xf numFmtId="170" fontId="5" fillId="11" borderId="24" xfId="0" applyNumberFormat="1" applyFont="1" applyFill="1" applyBorder="1" applyAlignment="1">
      <alignment horizontal="center" vertical="center" wrapText="1"/>
    </xf>
    <xf numFmtId="3" fontId="5" fillId="11" borderId="24" xfId="0" applyNumberFormat="1" applyFont="1" applyFill="1" applyBorder="1" applyAlignment="1">
      <alignment horizontal="center" vertical="center" wrapText="1"/>
    </xf>
    <xf numFmtId="168" fontId="5" fillId="9" borderId="24" xfId="2" applyNumberFormat="1" applyFont="1" applyFill="1" applyBorder="1" applyAlignment="1">
      <alignment horizontal="center" vertical="center" wrapText="1"/>
    </xf>
    <xf numFmtId="14" fontId="3" fillId="13" borderId="24" xfId="0" applyNumberFormat="1" applyFont="1" applyFill="1" applyBorder="1" applyAlignment="1">
      <alignment horizontal="center" vertical="center" wrapText="1"/>
    </xf>
    <xf numFmtId="168" fontId="3" fillId="8" borderId="24" xfId="2" applyNumberFormat="1" applyFont="1" applyFill="1" applyBorder="1" applyAlignment="1">
      <alignment horizontal="center" vertical="center" wrapText="1"/>
    </xf>
    <xf numFmtId="14" fontId="3" fillId="16" borderId="24" xfId="0" applyNumberFormat="1" applyFont="1" applyFill="1" applyBorder="1" applyAlignment="1">
      <alignment horizontal="center" vertical="center" wrapText="1"/>
    </xf>
    <xf numFmtId="168" fontId="3" fillId="15" borderId="24" xfId="2" applyNumberFormat="1" applyFont="1" applyFill="1" applyBorder="1" applyAlignment="1">
      <alignment horizontal="center" vertical="center" wrapText="1"/>
    </xf>
    <xf numFmtId="170" fontId="5" fillId="9" borderId="24" xfId="0" applyNumberFormat="1" applyFont="1" applyFill="1" applyBorder="1" applyAlignment="1">
      <alignment horizontal="center" vertical="center" wrapText="1"/>
    </xf>
    <xf numFmtId="0" fontId="9" fillId="0" borderId="9" xfId="0" applyFont="1" applyBorder="1" applyAlignment="1">
      <alignment vertical="center" wrapText="1"/>
    </xf>
    <xf numFmtId="0" fontId="9" fillId="0" borderId="31" xfId="0" applyFont="1" applyBorder="1" applyAlignment="1">
      <alignment vertical="center" wrapText="1"/>
    </xf>
    <xf numFmtId="0" fontId="9" fillId="0" borderId="32" xfId="0" applyFont="1" applyBorder="1" applyAlignment="1">
      <alignment vertical="center" wrapText="1"/>
    </xf>
    <xf numFmtId="169" fontId="3" fillId="0" borderId="24" xfId="0" applyNumberFormat="1" applyFont="1" applyBorder="1" applyAlignment="1">
      <alignment horizontal="center" vertical="center" wrapText="1"/>
    </xf>
    <xf numFmtId="171" fontId="10" fillId="0" borderId="0" xfId="6" applyNumberFormat="1" applyFont="1" applyAlignment="1">
      <alignment vertical="center"/>
    </xf>
    <xf numFmtId="0" fontId="10" fillId="0" borderId="0" xfId="5" applyFont="1" applyAlignment="1">
      <alignment vertical="center"/>
    </xf>
    <xf numFmtId="0" fontId="13" fillId="0" borderId="0" xfId="5" applyFont="1" applyAlignment="1">
      <alignment vertical="center"/>
    </xf>
    <xf numFmtId="171" fontId="13" fillId="0" borderId="0" xfId="6" applyNumberFormat="1" applyFont="1" applyAlignment="1">
      <alignment vertical="center"/>
    </xf>
    <xf numFmtId="0" fontId="32" fillId="19" borderId="39" xfId="5" applyFont="1" applyFill="1" applyBorder="1" applyAlignment="1">
      <alignment horizontal="center" vertical="center" wrapText="1"/>
    </xf>
    <xf numFmtId="0" fontId="32" fillId="19" borderId="40" xfId="5" applyFont="1" applyFill="1" applyBorder="1" applyAlignment="1">
      <alignment horizontal="center" vertical="center" wrapText="1"/>
    </xf>
    <xf numFmtId="0" fontId="10" fillId="0" borderId="41" xfId="5" applyFont="1" applyBorder="1" applyAlignment="1">
      <alignment vertical="center" wrapText="1"/>
    </xf>
    <xf numFmtId="0" fontId="10" fillId="0" borderId="1" xfId="5" applyFont="1" applyBorder="1" applyAlignment="1">
      <alignment vertical="center" wrapText="1"/>
    </xf>
    <xf numFmtId="3" fontId="10" fillId="0" borderId="1" xfId="5" applyNumberFormat="1" applyFont="1" applyBorder="1" applyAlignment="1">
      <alignment horizontal="center" vertical="center" wrapText="1"/>
    </xf>
    <xf numFmtId="0" fontId="10" fillId="0" borderId="1" xfId="5" applyFont="1" applyBorder="1" applyAlignment="1">
      <alignment horizontal="left" vertical="center" wrapText="1"/>
    </xf>
    <xf numFmtId="0" fontId="10" fillId="0" borderId="41" xfId="5" applyFont="1" applyBorder="1" applyAlignment="1">
      <alignment horizontal="center" vertical="center" wrapText="1"/>
    </xf>
    <xf numFmtId="9" fontId="10" fillId="0" borderId="1" xfId="7" applyFont="1" applyBorder="1" applyAlignment="1">
      <alignment horizontal="center" vertical="center" wrapText="1"/>
    </xf>
    <xf numFmtId="0" fontId="10" fillId="0" borderId="1" xfId="5" quotePrefix="1" applyFont="1" applyBorder="1" applyAlignment="1">
      <alignment vertical="center" wrapText="1"/>
    </xf>
    <xf numFmtId="0" fontId="32" fillId="19" borderId="1" xfId="5" applyFont="1" applyFill="1" applyBorder="1" applyAlignment="1">
      <alignment horizontal="center" vertical="center" wrapText="1"/>
    </xf>
    <xf numFmtId="9" fontId="32" fillId="19" borderId="1" xfId="7" applyFont="1" applyFill="1" applyBorder="1" applyAlignment="1">
      <alignment horizontal="center" vertical="center" wrapText="1"/>
    </xf>
    <xf numFmtId="0" fontId="33" fillId="19" borderId="44" xfId="5" applyFont="1" applyFill="1" applyBorder="1" applyAlignment="1">
      <alignment vertical="center" wrapText="1"/>
    </xf>
    <xf numFmtId="0" fontId="13" fillId="0" borderId="0" xfId="5" applyFont="1" applyAlignment="1">
      <alignment vertical="top"/>
    </xf>
    <xf numFmtId="0" fontId="10" fillId="0" borderId="0" xfId="5" applyFont="1" applyAlignment="1">
      <alignment vertical="top" wrapText="1"/>
    </xf>
    <xf numFmtId="0" fontId="34" fillId="0" borderId="0" xfId="5" applyFont="1" applyAlignment="1">
      <alignment vertical="center"/>
    </xf>
    <xf numFmtId="171" fontId="34" fillId="0" borderId="0" xfId="6" applyNumberFormat="1" applyFont="1" applyAlignment="1">
      <alignment vertical="center"/>
    </xf>
    <xf numFmtId="0" fontId="13" fillId="0" borderId="0" xfId="5" quotePrefix="1" applyFont="1" applyAlignment="1">
      <alignment vertical="center"/>
    </xf>
    <xf numFmtId="0" fontId="10" fillId="0" borderId="0" xfId="5" quotePrefix="1" applyFont="1" applyAlignment="1">
      <alignment vertical="center"/>
    </xf>
    <xf numFmtId="166" fontId="8" fillId="2" borderId="6" xfId="1" applyNumberFormat="1" applyFont="1" applyFill="1" applyBorder="1" applyAlignment="1">
      <alignment horizontal="center" vertical="center" wrapText="1"/>
    </xf>
    <xf numFmtId="166" fontId="8" fillId="20" borderId="1" xfId="1" applyNumberFormat="1" applyFont="1" applyFill="1" applyBorder="1" applyAlignment="1">
      <alignment horizontal="center" vertical="center" wrapText="1"/>
    </xf>
    <xf numFmtId="166" fontId="8" fillId="3" borderId="1" xfId="1" applyNumberFormat="1" applyFont="1" applyFill="1" applyBorder="1" applyAlignment="1">
      <alignment horizontal="center" vertical="center" wrapText="1"/>
    </xf>
    <xf numFmtId="166" fontId="8" fillId="4" borderId="1" xfId="1" applyNumberFormat="1" applyFont="1" applyFill="1" applyBorder="1" applyAlignment="1">
      <alignment horizontal="center" vertical="center" wrapText="1"/>
    </xf>
    <xf numFmtId="166" fontId="8" fillId="6" borderId="1" xfId="1" applyNumberFormat="1" applyFont="1" applyFill="1" applyBorder="1" applyAlignment="1">
      <alignment horizontal="center" vertical="center" wrapText="1"/>
    </xf>
    <xf numFmtId="166" fontId="8" fillId="6" borderId="6" xfId="1" applyNumberFormat="1" applyFont="1" applyFill="1" applyBorder="1" applyAlignment="1">
      <alignment horizontal="center" vertical="center" wrapText="1"/>
    </xf>
    <xf numFmtId="166" fontId="8" fillId="4" borderId="6" xfId="1" applyNumberFormat="1" applyFont="1" applyFill="1" applyBorder="1" applyAlignment="1">
      <alignment horizontal="center" vertical="center" wrapText="1"/>
    </xf>
    <xf numFmtId="166" fontId="8" fillId="3" borderId="6" xfId="1" applyNumberFormat="1" applyFont="1" applyFill="1" applyBorder="1" applyAlignment="1">
      <alignment horizontal="center" vertical="center" wrapText="1"/>
    </xf>
    <xf numFmtId="166" fontId="8" fillId="20" borderId="6" xfId="1" applyNumberFormat="1" applyFont="1" applyFill="1" applyBorder="1" applyAlignment="1">
      <alignment horizontal="center" vertical="center" wrapText="1"/>
    </xf>
    <xf numFmtId="0" fontId="0" fillId="0" borderId="0" xfId="0" applyProtection="1">
      <protection hidden="1"/>
    </xf>
    <xf numFmtId="49" fontId="22" fillId="8" borderId="11" xfId="0" applyNumberFormat="1" applyFont="1" applyFill="1" applyBorder="1" applyAlignment="1" applyProtection="1">
      <alignment horizontal="center" vertical="center" wrapText="1"/>
      <protection hidden="1"/>
    </xf>
    <xf numFmtId="49" fontId="23" fillId="8" borderId="14" xfId="0" applyNumberFormat="1" applyFont="1" applyFill="1" applyBorder="1" applyAlignment="1" applyProtection="1">
      <alignment horizontal="right" vertical="center" wrapText="1"/>
      <protection hidden="1"/>
    </xf>
    <xf numFmtId="14" fontId="23" fillId="8" borderId="14" xfId="0" applyNumberFormat="1" applyFont="1" applyFill="1" applyBorder="1" applyAlignment="1" applyProtection="1">
      <alignment horizontal="left" vertical="center" wrapText="1"/>
      <protection hidden="1"/>
    </xf>
    <xf numFmtId="49" fontId="24" fillId="8" borderId="13" xfId="0" applyNumberFormat="1" applyFont="1" applyFill="1" applyBorder="1" applyAlignment="1" applyProtection="1">
      <alignment vertical="center" wrapText="1"/>
      <protection hidden="1"/>
    </xf>
    <xf numFmtId="49" fontId="25" fillId="0" borderId="33" xfId="0" applyNumberFormat="1" applyFont="1" applyBorder="1" applyAlignment="1" applyProtection="1">
      <alignment vertical="center" wrapText="1"/>
      <protection hidden="1"/>
    </xf>
    <xf numFmtId="49" fontId="25" fillId="0" borderId="34" xfId="0" applyNumberFormat="1" applyFont="1" applyBorder="1" applyAlignment="1" applyProtection="1">
      <alignment horizontal="center" vertical="center" wrapText="1"/>
      <protection hidden="1"/>
    </xf>
    <xf numFmtId="49" fontId="24" fillId="8" borderId="14" xfId="0" applyNumberFormat="1" applyFont="1" applyFill="1" applyBorder="1" applyAlignment="1" applyProtection="1">
      <alignment vertical="center" wrapText="1"/>
      <protection hidden="1"/>
    </xf>
    <xf numFmtId="3" fontId="25" fillId="8" borderId="34" xfId="0" applyNumberFormat="1" applyFont="1" applyFill="1" applyBorder="1" applyAlignment="1" applyProtection="1">
      <alignment horizontal="center" vertical="center" wrapText="1"/>
      <protection hidden="1"/>
    </xf>
    <xf numFmtId="3" fontId="26" fillId="8" borderId="34" xfId="0" applyNumberFormat="1" applyFont="1" applyFill="1" applyBorder="1" applyAlignment="1" applyProtection="1">
      <alignment horizontal="center" vertical="center" wrapText="1"/>
      <protection hidden="1"/>
    </xf>
    <xf numFmtId="49" fontId="25" fillId="0" borderId="35" xfId="0" applyNumberFormat="1" applyFont="1" applyBorder="1" applyAlignment="1" applyProtection="1">
      <alignment vertical="center" wrapText="1"/>
      <protection hidden="1"/>
    </xf>
    <xf numFmtId="4" fontId="25" fillId="0" borderId="15" xfId="0" applyNumberFormat="1" applyFont="1" applyBorder="1" applyAlignment="1" applyProtection="1">
      <alignment horizontal="center" vertical="center" wrapText="1"/>
      <protection hidden="1"/>
    </xf>
    <xf numFmtId="49" fontId="7" fillId="8" borderId="14" xfId="0" applyNumberFormat="1" applyFont="1" applyFill="1" applyBorder="1" applyAlignment="1" applyProtection="1">
      <alignment vertical="center" wrapText="1"/>
      <protection hidden="1"/>
    </xf>
    <xf numFmtId="0" fontId="25" fillId="0" borderId="33" xfId="0" applyFont="1" applyBorder="1" applyAlignment="1" applyProtection="1">
      <alignment vertical="center" wrapText="1"/>
      <protection hidden="1"/>
    </xf>
    <xf numFmtId="0" fontId="25" fillId="0" borderId="33" xfId="0" quotePrefix="1" applyFont="1" applyBorder="1" applyAlignment="1" applyProtection="1">
      <alignment vertical="center" wrapText="1"/>
      <protection hidden="1"/>
    </xf>
    <xf numFmtId="3" fontId="26" fillId="0" borderId="34" xfId="0" applyNumberFormat="1" applyFont="1" applyBorder="1" applyAlignment="1" applyProtection="1">
      <alignment horizontal="center" vertical="center" wrapText="1"/>
      <protection hidden="1"/>
    </xf>
    <xf numFmtId="4" fontId="25" fillId="0" borderId="34" xfId="0" applyNumberFormat="1" applyFont="1" applyBorder="1" applyAlignment="1" applyProtection="1">
      <alignment horizontal="center" vertical="center" wrapText="1"/>
      <protection hidden="1"/>
    </xf>
    <xf numFmtId="0" fontId="29" fillId="0" borderId="0" xfId="0" applyFont="1" applyAlignment="1" applyProtection="1">
      <alignment horizontal="center"/>
      <protection hidden="1"/>
    </xf>
    <xf numFmtId="3" fontId="25" fillId="0" borderId="34" xfId="0" applyNumberFormat="1" applyFont="1" applyBorder="1" applyAlignment="1" applyProtection="1">
      <alignment horizontal="center" vertical="center" wrapText="1"/>
      <protection hidden="1"/>
    </xf>
    <xf numFmtId="0" fontId="24" fillId="0" borderId="14" xfId="0" applyFont="1" applyBorder="1" applyAlignment="1" applyProtection="1">
      <alignment vertical="center" wrapText="1"/>
      <protection hidden="1"/>
    </xf>
    <xf numFmtId="0" fontId="27" fillId="0" borderId="14" xfId="0" applyFont="1" applyBorder="1" applyAlignment="1" applyProtection="1">
      <alignment horizontal="right" vertical="center" wrapText="1"/>
      <protection hidden="1"/>
    </xf>
    <xf numFmtId="49" fontId="25" fillId="0" borderId="34" xfId="0" applyNumberFormat="1" applyFont="1" applyBorder="1" applyAlignment="1" applyProtection="1">
      <alignment horizontal="center" vertical="center" wrapText="1"/>
      <protection locked="0" hidden="1"/>
    </xf>
    <xf numFmtId="3" fontId="3" fillId="0" borderId="7" xfId="0" applyNumberFormat="1" applyFont="1" applyBorder="1" applyAlignment="1" applyProtection="1">
      <alignment horizontal="center" vertical="center" wrapText="1"/>
      <protection locked="0" hidden="1"/>
    </xf>
    <xf numFmtId="0" fontId="3" fillId="0" borderId="28" xfId="0" applyFont="1" applyBorder="1" applyAlignment="1" applyProtection="1">
      <alignment horizontal="center" vertical="center" wrapText="1"/>
      <protection locked="0" hidden="1"/>
    </xf>
    <xf numFmtId="0" fontId="3" fillId="0" borderId="0" xfId="0" applyFont="1" applyAlignment="1" applyProtection="1">
      <alignment horizontal="center" vertical="center" wrapText="1"/>
      <protection locked="0" hidden="1"/>
    </xf>
    <xf numFmtId="10" fontId="3" fillId="0" borderId="5" xfId="0" applyNumberFormat="1" applyFont="1" applyBorder="1" applyAlignment="1" applyProtection="1">
      <alignment horizontal="center" vertical="center" wrapText="1"/>
      <protection hidden="1"/>
    </xf>
    <xf numFmtId="3" fontId="3" fillId="0" borderId="24" xfId="0" applyNumberFormat="1" applyFont="1" applyBorder="1" applyAlignment="1" applyProtection="1">
      <alignment horizontal="center" vertical="center" wrapText="1"/>
      <protection hidden="1"/>
    </xf>
    <xf numFmtId="10" fontId="3" fillId="0" borderId="24" xfId="0" applyNumberFormat="1" applyFont="1" applyBorder="1" applyAlignment="1" applyProtection="1">
      <alignment horizontal="center" vertical="center" wrapText="1"/>
      <protection hidden="1"/>
    </xf>
    <xf numFmtId="164" fontId="3" fillId="0" borderId="24" xfId="4" applyFont="1" applyBorder="1" applyAlignment="1" applyProtection="1">
      <alignment horizontal="center" vertical="center" wrapText="1"/>
      <protection hidden="1"/>
    </xf>
    <xf numFmtId="3" fontId="5" fillId="0" borderId="24" xfId="0" applyNumberFormat="1" applyFont="1" applyBorder="1" applyAlignment="1" applyProtection="1">
      <alignment horizontal="center" vertical="center" wrapText="1"/>
      <protection hidden="1"/>
    </xf>
    <xf numFmtId="3" fontId="5" fillId="9" borderId="24" xfId="0" applyNumberFormat="1" applyFont="1" applyFill="1" applyBorder="1" applyAlignment="1" applyProtection="1">
      <alignment horizontal="center" vertical="center" wrapText="1"/>
      <protection hidden="1"/>
    </xf>
    <xf numFmtId="3" fontId="5" fillId="0" borderId="20" xfId="0" applyNumberFormat="1" applyFont="1" applyBorder="1" applyAlignment="1" applyProtection="1">
      <alignment horizontal="center" vertical="center" wrapText="1"/>
      <protection hidden="1"/>
    </xf>
    <xf numFmtId="3" fontId="3" fillId="0" borderId="19" xfId="0" applyNumberFormat="1" applyFont="1" applyBorder="1" applyAlignment="1" applyProtection="1">
      <alignment horizontal="center" vertical="center" wrapText="1"/>
      <protection hidden="1"/>
    </xf>
    <xf numFmtId="170" fontId="3" fillId="8" borderId="24" xfId="0" applyNumberFormat="1" applyFont="1" applyFill="1" applyBorder="1" applyAlignment="1" applyProtection="1">
      <alignment vertical="center" wrapText="1"/>
      <protection hidden="1"/>
    </xf>
    <xf numFmtId="170" fontId="3" fillId="14" borderId="24" xfId="0" applyNumberFormat="1" applyFont="1" applyFill="1" applyBorder="1" applyAlignment="1" applyProtection="1">
      <alignment vertical="center" wrapText="1"/>
      <protection hidden="1"/>
    </xf>
    <xf numFmtId="170" fontId="3" fillId="15" borderId="24" xfId="0" applyNumberFormat="1" applyFont="1" applyFill="1" applyBorder="1" applyAlignment="1" applyProtection="1">
      <alignment vertical="center" wrapText="1"/>
      <protection hidden="1"/>
    </xf>
    <xf numFmtId="170" fontId="5" fillId="9" borderId="24" xfId="0" applyNumberFormat="1" applyFont="1" applyFill="1" applyBorder="1" applyAlignment="1" applyProtection="1">
      <alignment horizontal="center" vertical="center" wrapText="1"/>
      <protection hidden="1"/>
    </xf>
    <xf numFmtId="0" fontId="3" fillId="0" borderId="24" xfId="0" applyFont="1" applyBorder="1" applyAlignment="1" applyProtection="1">
      <alignment horizontal="center" vertical="center" wrapText="1"/>
      <protection hidden="1"/>
    </xf>
    <xf numFmtId="0" fontId="3" fillId="0" borderId="28" xfId="0" applyFont="1" applyBorder="1" applyAlignment="1" applyProtection="1">
      <alignment horizontal="center" vertical="center" wrapText="1"/>
      <protection hidden="1"/>
    </xf>
    <xf numFmtId="0" fontId="8" fillId="6" borderId="1" xfId="0" applyFont="1" applyFill="1" applyBorder="1" applyAlignment="1">
      <alignment horizontal="center" vertical="center" wrapText="1"/>
    </xf>
    <xf numFmtId="0" fontId="8" fillId="7" borderId="1" xfId="0" applyFont="1" applyFill="1" applyBorder="1" applyAlignment="1">
      <alignment horizontal="center" vertical="center" wrapText="1"/>
    </xf>
    <xf numFmtId="0" fontId="35" fillId="13" borderId="1" xfId="0" applyFont="1" applyFill="1" applyBorder="1" applyAlignment="1">
      <alignment horizontal="center" vertical="center" wrapText="1"/>
    </xf>
    <xf numFmtId="0" fontId="35" fillId="5" borderId="1" xfId="0" applyFont="1" applyFill="1" applyBorder="1" applyAlignment="1">
      <alignment horizontal="center" vertical="center" wrapText="1"/>
    </xf>
    <xf numFmtId="0" fontId="9" fillId="6" borderId="1" xfId="0" applyFont="1" applyFill="1" applyBorder="1" applyAlignment="1">
      <alignment vertical="center"/>
    </xf>
    <xf numFmtId="0" fontId="9" fillId="7" borderId="1" xfId="0" applyFont="1" applyFill="1" applyBorder="1" applyAlignment="1">
      <alignment vertical="center"/>
    </xf>
    <xf numFmtId="0" fontId="36" fillId="13" borderId="1" xfId="0" applyFont="1" applyFill="1" applyBorder="1" applyAlignment="1">
      <alignment vertical="center"/>
    </xf>
    <xf numFmtId="0" fontId="36" fillId="5" borderId="1" xfId="0" applyFont="1" applyFill="1" applyBorder="1" applyAlignment="1">
      <alignment vertical="center"/>
    </xf>
    <xf numFmtId="0" fontId="8" fillId="0" borderId="1" xfId="0" applyFont="1" applyBorder="1" applyAlignment="1" applyProtection="1">
      <alignment horizontal="center" vertical="center" wrapText="1"/>
      <protection hidden="1"/>
    </xf>
    <xf numFmtId="166" fontId="9" fillId="0" borderId="1" xfId="0" quotePrefix="1" applyNumberFormat="1" applyFont="1" applyBorder="1" applyAlignment="1" applyProtection="1">
      <alignment horizontal="center"/>
      <protection hidden="1"/>
    </xf>
    <xf numFmtId="0" fontId="8" fillId="0" borderId="1" xfId="0" quotePrefix="1" applyFont="1" applyBorder="1" applyAlignment="1" applyProtection="1">
      <alignment horizontal="center" vertical="center"/>
      <protection hidden="1"/>
    </xf>
    <xf numFmtId="0" fontId="9" fillId="0" borderId="1" xfId="0" applyFont="1" applyBorder="1" applyAlignment="1" applyProtection="1">
      <alignment horizontal="center" vertical="center"/>
      <protection hidden="1"/>
    </xf>
    <xf numFmtId="0" fontId="9" fillId="0" borderId="1" xfId="0" applyFont="1" applyBorder="1" applyAlignment="1">
      <alignment horizontal="center" vertical="center"/>
    </xf>
    <xf numFmtId="14" fontId="9" fillId="0" borderId="1" xfId="0" applyNumberFormat="1" applyFont="1" applyBorder="1" applyAlignment="1">
      <alignment horizontal="center" vertical="center"/>
    </xf>
    <xf numFmtId="167" fontId="9" fillId="0" borderId="1" xfId="1" applyNumberFormat="1" applyFont="1" applyFill="1" applyBorder="1" applyAlignment="1">
      <alignment horizontal="center" vertical="center"/>
    </xf>
    <xf numFmtId="165" fontId="9" fillId="0" borderId="1" xfId="1" applyFont="1" applyFill="1" applyBorder="1" applyAlignment="1">
      <alignment horizontal="center" vertical="center"/>
    </xf>
    <xf numFmtId="166" fontId="9" fillId="0" borderId="1" xfId="1" applyNumberFormat="1" applyFont="1" applyFill="1" applyBorder="1" applyProtection="1">
      <protection hidden="1"/>
    </xf>
    <xf numFmtId="0" fontId="9" fillId="0" borderId="1" xfId="0" applyFont="1" applyBorder="1" applyAlignment="1">
      <alignment horizontal="center" vertical="center" wrapText="1"/>
    </xf>
    <xf numFmtId="0" fontId="9" fillId="0" borderId="1" xfId="0" applyFont="1" applyBorder="1" applyAlignment="1" applyProtection="1">
      <alignment horizontal="center" vertical="center" wrapText="1"/>
      <protection hidden="1"/>
    </xf>
    <xf numFmtId="166" fontId="9" fillId="0" borderId="1" xfId="1" applyNumberFormat="1" applyFont="1" applyFill="1" applyBorder="1" applyAlignment="1" applyProtection="1">
      <alignment vertical="center"/>
      <protection hidden="1"/>
    </xf>
    <xf numFmtId="0" fontId="9" fillId="2" borderId="1" xfId="0" applyFont="1" applyFill="1" applyBorder="1" applyAlignment="1" applyProtection="1">
      <alignment horizontal="center" vertical="center"/>
      <protection hidden="1"/>
    </xf>
    <xf numFmtId="0" fontId="9" fillId="0" borderId="1" xfId="0" quotePrefix="1" applyFont="1" applyBorder="1" applyAlignment="1" applyProtection="1">
      <alignment horizontal="center" vertical="center"/>
      <protection hidden="1"/>
    </xf>
    <xf numFmtId="0" fontId="9" fillId="0" borderId="1" xfId="0" applyFont="1" applyBorder="1" applyAlignment="1">
      <alignment horizontal="left" vertical="center" wrapText="1"/>
    </xf>
    <xf numFmtId="164" fontId="9" fillId="0" borderId="1" xfId="4" applyFont="1" applyFill="1" applyBorder="1" applyAlignment="1">
      <alignment vertical="center"/>
    </xf>
    <xf numFmtId="166" fontId="9" fillId="0" borderId="1" xfId="0" applyNumberFormat="1" applyFont="1" applyBorder="1" applyAlignment="1">
      <alignment vertical="center"/>
    </xf>
    <xf numFmtId="172" fontId="45" fillId="25" borderId="0" xfId="8" applyNumberFormat="1" applyFont="1" applyFill="1" applyAlignment="1">
      <alignment horizontal="center" vertical="center" wrapText="1"/>
    </xf>
    <xf numFmtId="173" fontId="9" fillId="0" borderId="0" xfId="0" applyNumberFormat="1" applyFont="1" applyAlignment="1">
      <alignment vertical="center"/>
    </xf>
    <xf numFmtId="173" fontId="8" fillId="4" borderId="1" xfId="1" applyNumberFormat="1" applyFont="1" applyFill="1" applyBorder="1" applyAlignment="1">
      <alignment horizontal="center" vertical="center" wrapText="1"/>
    </xf>
    <xf numFmtId="173" fontId="8" fillId="4" borderId="6" xfId="1" applyNumberFormat="1" applyFont="1" applyFill="1" applyBorder="1" applyAlignment="1">
      <alignment horizontal="center" vertical="center" wrapText="1"/>
    </xf>
    <xf numFmtId="173" fontId="9" fillId="0" borderId="1" xfId="1" applyNumberFormat="1" applyFont="1" applyFill="1" applyBorder="1" applyAlignment="1" applyProtection="1">
      <alignment vertical="center"/>
      <protection hidden="1"/>
    </xf>
    <xf numFmtId="0" fontId="43" fillId="25" borderId="0" xfId="8" applyFont="1" applyFill="1" applyAlignment="1">
      <alignment vertical="center" wrapText="1"/>
    </xf>
    <xf numFmtId="172" fontId="45" fillId="25" borderId="0" xfId="8" applyNumberFormat="1" applyFont="1" applyFill="1" applyAlignment="1">
      <alignment vertical="center" wrapText="1"/>
    </xf>
    <xf numFmtId="4" fontId="44" fillId="25" borderId="0" xfId="8" applyNumberFormat="1" applyFont="1" applyFill="1" applyAlignment="1">
      <alignment vertical="center" wrapText="1"/>
    </xf>
    <xf numFmtId="0" fontId="46" fillId="0" borderId="0" xfId="8" applyFont="1" applyAlignment="1">
      <alignment vertical="center" wrapText="1"/>
    </xf>
    <xf numFmtId="0" fontId="42" fillId="22" borderId="46" xfId="0" applyFont="1" applyFill="1" applyBorder="1" applyAlignment="1">
      <alignment horizontal="center" vertical="center" wrapText="1"/>
    </xf>
    <xf numFmtId="0" fontId="47" fillId="25" borderId="46" xfId="0" applyFont="1" applyFill="1" applyBorder="1" applyAlignment="1">
      <alignment horizontal="center" vertical="center" wrapText="1"/>
    </xf>
    <xf numFmtId="0" fontId="47" fillId="25" borderId="46" xfId="0" applyFont="1" applyFill="1" applyBorder="1" applyAlignment="1">
      <alignment vertical="center" wrapText="1"/>
    </xf>
    <xf numFmtId="14" fontId="47" fillId="25" borderId="46" xfId="0" applyNumberFormat="1" applyFont="1" applyFill="1" applyBorder="1" applyAlignment="1">
      <alignment horizontal="center" vertical="center" wrapText="1"/>
    </xf>
    <xf numFmtId="9" fontId="47" fillId="25" borderId="46" xfId="0" applyNumberFormat="1" applyFont="1" applyFill="1" applyBorder="1" applyAlignment="1">
      <alignment horizontal="center" vertical="center" wrapText="1"/>
    </xf>
    <xf numFmtId="0" fontId="42" fillId="27" borderId="46" xfId="0" applyFont="1" applyFill="1" applyBorder="1" applyAlignment="1">
      <alignment vertical="center" wrapText="1"/>
    </xf>
    <xf numFmtId="0" fontId="42" fillId="28" borderId="46" xfId="0" applyFont="1" applyFill="1" applyBorder="1" applyAlignment="1">
      <alignment vertical="center" wrapText="1"/>
    </xf>
    <xf numFmtId="0" fontId="46" fillId="0" borderId="0" xfId="8" applyFont="1" applyAlignment="1">
      <alignment vertical="center"/>
    </xf>
    <xf numFmtId="4" fontId="46" fillId="0" borderId="0" xfId="8" applyNumberFormat="1" applyFont="1" applyAlignment="1">
      <alignment vertical="center"/>
    </xf>
    <xf numFmtId="0" fontId="48" fillId="23" borderId="1" xfId="8" applyFont="1" applyFill="1" applyBorder="1" applyAlignment="1">
      <alignment horizontal="center" vertical="center" wrapText="1"/>
    </xf>
    <xf numFmtId="0" fontId="39" fillId="0" borderId="45" xfId="0" applyFont="1" applyBorder="1" applyAlignment="1">
      <alignment horizontal="center" vertical="center" wrapText="1"/>
    </xf>
    <xf numFmtId="0" fontId="39" fillId="0" borderId="45" xfId="0" applyFont="1" applyBorder="1" applyAlignment="1">
      <alignment vertical="center" wrapText="1"/>
    </xf>
    <xf numFmtId="14" fontId="39" fillId="0" borderId="45" xfId="0" applyNumberFormat="1" applyFont="1" applyBorder="1" applyAlignment="1">
      <alignment horizontal="center" vertical="center" wrapText="1"/>
    </xf>
    <xf numFmtId="14" fontId="46" fillId="0" borderId="0" xfId="8" applyNumberFormat="1" applyFont="1" applyAlignment="1">
      <alignment vertical="center"/>
    </xf>
    <xf numFmtId="9" fontId="39" fillId="0" borderId="45" xfId="0" applyNumberFormat="1" applyFont="1" applyBorder="1" applyAlignment="1">
      <alignment horizontal="center" vertical="center" wrapText="1"/>
    </xf>
    <xf numFmtId="166" fontId="46" fillId="0" borderId="0" xfId="1" applyNumberFormat="1" applyFont="1" applyAlignment="1">
      <alignment vertical="center"/>
    </xf>
    <xf numFmtId="0" fontId="49" fillId="24" borderId="0" xfId="8" applyFont="1" applyFill="1" applyAlignment="1">
      <alignment vertical="center" wrapText="1"/>
    </xf>
    <xf numFmtId="0" fontId="39" fillId="0" borderId="47" xfId="0" applyFont="1" applyBorder="1" applyAlignment="1">
      <alignment horizontal="center" vertical="center" wrapText="1"/>
    </xf>
    <xf numFmtId="0" fontId="39" fillId="0" borderId="47" xfId="0" applyFont="1" applyBorder="1" applyAlignment="1">
      <alignment vertical="center" wrapText="1"/>
    </xf>
    <xf numFmtId="14" fontId="39" fillId="0" borderId="47" xfId="0" applyNumberFormat="1" applyFont="1" applyBorder="1" applyAlignment="1">
      <alignment horizontal="center" vertical="center" wrapText="1"/>
    </xf>
    <xf numFmtId="9" fontId="39" fillId="0" borderId="47" xfId="0" applyNumberFormat="1" applyFont="1" applyBorder="1" applyAlignment="1">
      <alignment horizontal="center" vertical="center" wrapText="1"/>
    </xf>
    <xf numFmtId="166" fontId="43" fillId="25" borderId="0" xfId="8" applyNumberFormat="1" applyFont="1" applyFill="1" applyAlignment="1">
      <alignment horizontal="left" vertical="center" wrapText="1"/>
    </xf>
    <xf numFmtId="166" fontId="43" fillId="25" borderId="0" xfId="1" applyNumberFormat="1" applyFont="1" applyFill="1" applyAlignment="1">
      <alignment horizontal="left" vertical="center" wrapText="1"/>
    </xf>
    <xf numFmtId="166" fontId="32" fillId="19" borderId="43" xfId="1" applyNumberFormat="1" applyFont="1" applyFill="1" applyBorder="1" applyAlignment="1">
      <alignment horizontal="center" vertical="center" wrapText="1"/>
    </xf>
    <xf numFmtId="0" fontId="13" fillId="0" borderId="0" xfId="5" quotePrefix="1" applyFont="1" applyAlignment="1">
      <alignment horizontal="center" vertical="center"/>
    </xf>
    <xf numFmtId="0" fontId="54" fillId="0" borderId="0" xfId="5" applyFont="1" applyAlignment="1">
      <alignment horizontal="center" vertical="center"/>
    </xf>
    <xf numFmtId="0" fontId="54" fillId="0" borderId="0" xfId="5" applyFont="1" applyAlignment="1">
      <alignment vertical="top"/>
    </xf>
    <xf numFmtId="0" fontId="54" fillId="0" borderId="0" xfId="5" quotePrefix="1" applyFont="1" applyAlignment="1">
      <alignment vertical="center"/>
    </xf>
    <xf numFmtId="0" fontId="34" fillId="0" borderId="0" xfId="5" applyFont="1" applyAlignment="1">
      <alignment vertical="center" wrapText="1"/>
    </xf>
    <xf numFmtId="0" fontId="54" fillId="0" borderId="0" xfId="5" applyFont="1" applyAlignment="1">
      <alignment vertical="center"/>
    </xf>
    <xf numFmtId="0" fontId="55" fillId="0" borderId="0" xfId="5" applyFont="1" applyAlignment="1">
      <alignment vertical="center"/>
    </xf>
    <xf numFmtId="0" fontId="32" fillId="19" borderId="48" xfId="5" applyFont="1" applyFill="1" applyBorder="1" applyAlignment="1">
      <alignment horizontal="center" vertical="center" wrapText="1"/>
    </xf>
    <xf numFmtId="0" fontId="10" fillId="0" borderId="49" xfId="5" applyFont="1" applyBorder="1" applyAlignment="1">
      <alignment horizontal="left" vertical="center" wrapText="1"/>
    </xf>
    <xf numFmtId="9" fontId="32" fillId="19" borderId="43" xfId="7" applyFont="1" applyFill="1" applyBorder="1" applyAlignment="1">
      <alignment horizontal="center" vertical="center" wrapText="1"/>
    </xf>
    <xf numFmtId="0" fontId="32" fillId="19" borderId="44" xfId="5" applyFont="1" applyFill="1" applyBorder="1" applyAlignment="1">
      <alignment horizontal="center" vertical="center" wrapText="1"/>
    </xf>
    <xf numFmtId="0" fontId="10" fillId="0" borderId="0" xfId="0" applyFont="1" applyAlignment="1">
      <alignment vertical="center" wrapText="1"/>
    </xf>
    <xf numFmtId="0" fontId="13" fillId="0" borderId="0" xfId="5" applyFont="1" applyAlignment="1">
      <alignment horizontal="centerContinuous" vertical="center"/>
    </xf>
    <xf numFmtId="0" fontId="10" fillId="0" borderId="0" xfId="5" applyFont="1" applyAlignment="1">
      <alignment horizontal="centerContinuous" vertical="center"/>
    </xf>
    <xf numFmtId="0" fontId="57" fillId="0" borderId="0" xfId="5" applyFont="1" applyAlignment="1">
      <alignment horizontal="center" vertical="center"/>
    </xf>
    <xf numFmtId="0" fontId="57" fillId="0" borderId="0" xfId="5" applyFont="1" applyAlignment="1">
      <alignment vertical="center"/>
    </xf>
    <xf numFmtId="0" fontId="13" fillId="29" borderId="1" xfId="0" applyFont="1" applyFill="1" applyBorder="1" applyAlignment="1">
      <alignment horizontal="center" vertical="center" wrapText="1"/>
    </xf>
    <xf numFmtId="0" fontId="10" fillId="0" borderId="1" xfId="0" applyFont="1" applyBorder="1" applyAlignment="1">
      <alignment horizontal="center" vertical="center" wrapText="1"/>
    </xf>
    <xf numFmtId="0" fontId="10" fillId="0" borderId="0" xfId="0" applyFont="1" applyAlignment="1">
      <alignment horizontal="center" vertical="center" wrapText="1"/>
    </xf>
    <xf numFmtId="0" fontId="10" fillId="0" borderId="0" xfId="0" applyFont="1" applyAlignment="1">
      <alignment horizontal="right" vertical="center" wrapText="1"/>
    </xf>
    <xf numFmtId="0" fontId="10" fillId="0" borderId="1" xfId="0" applyFont="1" applyBorder="1" applyAlignment="1">
      <alignment horizontal="justify" vertical="center" wrapText="1"/>
    </xf>
    <xf numFmtId="0" fontId="10" fillId="0" borderId="1" xfId="0" applyFont="1" applyBorder="1" applyAlignment="1">
      <alignment vertical="center" wrapText="1"/>
    </xf>
    <xf numFmtId="0" fontId="32" fillId="29" borderId="39" xfId="0" applyFont="1" applyFill="1" applyBorder="1" applyAlignment="1">
      <alignment horizontal="center" vertical="center" wrapText="1"/>
    </xf>
    <xf numFmtId="0" fontId="10" fillId="0" borderId="41" xfId="0" applyFont="1" applyBorder="1" applyAlignment="1">
      <alignment vertical="center" wrapText="1"/>
    </xf>
    <xf numFmtId="166" fontId="9" fillId="0" borderId="0" xfId="0" applyNumberFormat="1" applyFont="1" applyAlignment="1">
      <alignment vertical="center"/>
    </xf>
    <xf numFmtId="166" fontId="9" fillId="0" borderId="0" xfId="1" applyNumberFormat="1" applyFont="1" applyAlignment="1">
      <alignment vertical="center"/>
    </xf>
    <xf numFmtId="0" fontId="38" fillId="21" borderId="0" xfId="8" applyFont="1" applyFill="1" applyAlignment="1">
      <alignment horizontal="center" vertical="center" wrapText="1"/>
    </xf>
    <xf numFmtId="0" fontId="42" fillId="22" borderId="0" xfId="8" applyFont="1" applyFill="1" applyAlignment="1">
      <alignment horizontal="center" vertical="center" wrapText="1"/>
    </xf>
    <xf numFmtId="0" fontId="39" fillId="23" borderId="0" xfId="8" applyFont="1" applyFill="1" applyAlignment="1">
      <alignment vertical="center" wrapText="1"/>
    </xf>
    <xf numFmtId="14" fontId="39" fillId="24" borderId="0" xfId="8" applyNumberFormat="1" applyFont="1" applyFill="1" applyAlignment="1">
      <alignment horizontal="center" vertical="center" wrapText="1"/>
    </xf>
    <xf numFmtId="0" fontId="39" fillId="25" borderId="0" xfId="8" applyFont="1" applyFill="1" applyAlignment="1">
      <alignment vertical="center" wrapText="1"/>
    </xf>
    <xf numFmtId="0" fontId="39" fillId="25" borderId="0" xfId="8" applyFont="1" applyFill="1" applyAlignment="1">
      <alignment horizontal="center" vertical="center" wrapText="1"/>
    </xf>
    <xf numFmtId="0" fontId="40" fillId="26" borderId="0" xfId="8" applyFont="1" applyFill="1" applyAlignment="1">
      <alignment horizontal="center" vertical="center" wrapText="1"/>
    </xf>
    <xf numFmtId="0" fontId="44" fillId="23" borderId="0" xfId="8" applyFont="1" applyFill="1" applyAlignment="1">
      <alignment vertical="center" wrapText="1"/>
    </xf>
    <xf numFmtId="0" fontId="41" fillId="21" borderId="0" xfId="8" applyFont="1" applyFill="1" applyAlignment="1">
      <alignment horizontal="left" vertical="center" wrapText="1"/>
    </xf>
    <xf numFmtId="0" fontId="48" fillId="23" borderId="1" xfId="8" applyFont="1" applyFill="1" applyBorder="1" applyAlignment="1">
      <alignment horizontal="center" vertical="center" wrapText="1"/>
    </xf>
    <xf numFmtId="0" fontId="43" fillId="24" borderId="1" xfId="8" applyFont="1" applyFill="1" applyBorder="1" applyAlignment="1">
      <alignment vertical="center" wrapText="1"/>
    </xf>
    <xf numFmtId="4" fontId="44" fillId="25" borderId="1" xfId="8" applyNumberFormat="1" applyFont="1" applyFill="1" applyBorder="1" applyAlignment="1">
      <alignment horizontal="center" vertical="center" wrapText="1"/>
    </xf>
    <xf numFmtId="0" fontId="43" fillId="25" borderId="1" xfId="8" applyFont="1" applyFill="1" applyBorder="1" applyAlignment="1">
      <alignment horizontal="left" vertical="center" wrapText="1"/>
    </xf>
    <xf numFmtId="174" fontId="58" fillId="0" borderId="45" xfId="0" applyNumberFormat="1" applyFont="1" applyBorder="1" applyAlignment="1">
      <alignment horizontal="right" vertical="center" wrapText="1"/>
    </xf>
    <xf numFmtId="0" fontId="58" fillId="0" borderId="45" xfId="0" applyFont="1" applyBorder="1" applyAlignment="1">
      <alignment vertical="center" wrapText="1"/>
    </xf>
    <xf numFmtId="4" fontId="44" fillId="25" borderId="1" xfId="8" applyNumberFormat="1" applyFont="1" applyFill="1" applyBorder="1" applyAlignment="1">
      <alignment horizontal="right" vertical="center" wrapText="1"/>
    </xf>
    <xf numFmtId="0" fontId="43" fillId="25" borderId="1" xfId="8" applyFont="1" applyFill="1" applyBorder="1" applyAlignment="1">
      <alignment vertical="center" wrapText="1"/>
    </xf>
    <xf numFmtId="4" fontId="44" fillId="0" borderId="1" xfId="8" applyNumberFormat="1" applyFont="1" applyBorder="1" applyAlignment="1">
      <alignment horizontal="center" vertical="center" wrapText="1"/>
    </xf>
    <xf numFmtId="0" fontId="42" fillId="27" borderId="0" xfId="8" applyFont="1" applyFill="1" applyAlignment="1">
      <alignment horizontal="left" vertical="center" wrapText="1"/>
    </xf>
    <xf numFmtId="10" fontId="42" fillId="27" borderId="0" xfId="8" applyNumberFormat="1" applyFont="1" applyFill="1" applyAlignment="1">
      <alignment horizontal="left" vertical="center" wrapText="1"/>
    </xf>
    <xf numFmtId="172" fontId="42" fillId="27" borderId="0" xfId="8" applyNumberFormat="1" applyFont="1" applyFill="1" applyAlignment="1">
      <alignment horizontal="right" vertical="center" wrapText="1"/>
    </xf>
    <xf numFmtId="0" fontId="42" fillId="28" borderId="0" xfId="8" applyFont="1" applyFill="1" applyAlignment="1">
      <alignment horizontal="left" vertical="center" wrapText="1"/>
    </xf>
    <xf numFmtId="3" fontId="42" fillId="28" borderId="0" xfId="8" applyNumberFormat="1" applyFont="1" applyFill="1" applyAlignment="1">
      <alignment horizontal="left" vertical="center" wrapText="1"/>
    </xf>
    <xf numFmtId="3" fontId="42" fillId="28" borderId="0" xfId="8" applyNumberFormat="1" applyFont="1" applyFill="1" applyAlignment="1">
      <alignment horizontal="right" vertical="center" wrapText="1"/>
    </xf>
    <xf numFmtId="0" fontId="39" fillId="0" borderId="45" xfId="0" applyFont="1" applyBorder="1" applyAlignment="1">
      <alignment vertical="center" wrapText="1"/>
    </xf>
    <xf numFmtId="174" fontId="39" fillId="0" borderId="45" xfId="0" applyNumberFormat="1" applyFont="1" applyBorder="1" applyAlignment="1">
      <alignment horizontal="right" vertical="center" wrapText="1"/>
    </xf>
    <xf numFmtId="0" fontId="41" fillId="21" borderId="46" xfId="0" applyFont="1" applyFill="1" applyBorder="1" applyAlignment="1">
      <alignment horizontal="left" vertical="center" wrapText="1"/>
    </xf>
    <xf numFmtId="0" fontId="42" fillId="22" borderId="46" xfId="0" applyFont="1" applyFill="1" applyBorder="1" applyAlignment="1">
      <alignment horizontal="center" vertical="center" wrapText="1"/>
    </xf>
    <xf numFmtId="0" fontId="47" fillId="25" borderId="46" xfId="0" applyFont="1" applyFill="1" applyBorder="1" applyAlignment="1">
      <alignment vertical="center" wrapText="1"/>
    </xf>
    <xf numFmtId="174" fontId="47" fillId="25" borderId="46" xfId="0" applyNumberFormat="1" applyFont="1" applyFill="1" applyBorder="1" applyAlignment="1">
      <alignment horizontal="right" vertical="center" wrapText="1"/>
    </xf>
    <xf numFmtId="0" fontId="47" fillId="25" borderId="46" xfId="0" applyFont="1" applyFill="1" applyBorder="1" applyAlignment="1">
      <alignment horizontal="right" vertical="center" wrapText="1"/>
    </xf>
    <xf numFmtId="0" fontId="39" fillId="0" borderId="47" xfId="0" applyFont="1" applyBorder="1" applyAlignment="1">
      <alignment vertical="center" wrapText="1"/>
    </xf>
    <xf numFmtId="174" fontId="39" fillId="0" borderId="47" xfId="0" applyNumberFormat="1" applyFont="1" applyBorder="1" applyAlignment="1">
      <alignment horizontal="right" vertical="center" wrapText="1"/>
    </xf>
    <xf numFmtId="174" fontId="42" fillId="27" borderId="46" xfId="0" applyNumberFormat="1" applyFont="1" applyFill="1" applyBorder="1" applyAlignment="1">
      <alignment horizontal="right" vertical="center" wrapText="1"/>
    </xf>
    <xf numFmtId="0" fontId="42" fillId="27" borderId="46" xfId="0" applyFont="1" applyFill="1" applyBorder="1" applyAlignment="1">
      <alignment horizontal="right" vertical="center" wrapText="1"/>
    </xf>
    <xf numFmtId="0" fontId="42" fillId="27" borderId="46" xfId="0" applyFont="1" applyFill="1" applyBorder="1" applyAlignment="1">
      <alignment horizontal="left" vertical="center" wrapText="1"/>
    </xf>
    <xf numFmtId="0" fontId="42" fillId="28" borderId="46" xfId="0" applyFont="1" applyFill="1" applyBorder="1" applyAlignment="1">
      <alignment horizontal="left" vertical="center" wrapText="1"/>
    </xf>
    <xf numFmtId="174" fontId="42" fillId="28" borderId="46" xfId="0" applyNumberFormat="1" applyFont="1" applyFill="1" applyBorder="1" applyAlignment="1">
      <alignment horizontal="right" vertical="center" wrapText="1"/>
    </xf>
    <xf numFmtId="0" fontId="42" fillId="28" borderId="46" xfId="0" applyFont="1" applyFill="1" applyBorder="1" applyAlignment="1">
      <alignment horizontal="right" vertical="center" wrapText="1"/>
    </xf>
    <xf numFmtId="0" fontId="44" fillId="0" borderId="0" xfId="8" applyFont="1" applyAlignment="1">
      <alignment horizontal="center" vertical="center" wrapText="1"/>
    </xf>
    <xf numFmtId="0" fontId="42" fillId="25" borderId="0" xfId="8" applyFont="1" applyFill="1" applyAlignment="1">
      <alignment vertical="center" wrapText="1"/>
    </xf>
    <xf numFmtId="172" fontId="43" fillId="25" borderId="0" xfId="8" quotePrefix="1" applyNumberFormat="1" applyFont="1" applyFill="1" applyAlignment="1">
      <alignment horizontal="left" vertical="center" wrapText="1"/>
    </xf>
    <xf numFmtId="172" fontId="43" fillId="25" borderId="0" xfId="8" applyNumberFormat="1" applyFont="1" applyFill="1" applyAlignment="1">
      <alignment horizontal="left" vertical="center" wrapText="1"/>
    </xf>
    <xf numFmtId="0" fontId="43" fillId="25" borderId="0" xfId="8" quotePrefix="1" applyFont="1" applyFill="1" applyAlignment="1">
      <alignment horizontal="left" vertical="center" wrapText="1"/>
    </xf>
    <xf numFmtId="0" fontId="43" fillId="25" borderId="0" xfId="8" applyFont="1" applyFill="1" applyAlignment="1">
      <alignment horizontal="left" vertical="center" wrapText="1"/>
    </xf>
    <xf numFmtId="0" fontId="42" fillId="24" borderId="0" xfId="8" applyFont="1" applyFill="1" applyAlignment="1">
      <alignment vertical="center" wrapText="1"/>
    </xf>
    <xf numFmtId="172" fontId="43" fillId="24" borderId="0" xfId="8" applyNumberFormat="1" applyFont="1" applyFill="1" applyAlignment="1">
      <alignment horizontal="left" vertical="center" wrapText="1"/>
    </xf>
    <xf numFmtId="0" fontId="43" fillId="24" borderId="0" xfId="8" quotePrefix="1" applyFont="1" applyFill="1" applyAlignment="1">
      <alignment vertical="center" wrapText="1"/>
    </xf>
    <xf numFmtId="0" fontId="43" fillId="24" borderId="0" xfId="8" applyFont="1" applyFill="1" applyAlignment="1">
      <alignment vertical="center" wrapText="1"/>
    </xf>
    <xf numFmtId="0" fontId="41" fillId="21" borderId="0" xfId="8" applyFont="1" applyFill="1" applyAlignment="1">
      <alignment vertical="center" wrapText="1"/>
    </xf>
    <xf numFmtId="0" fontId="43" fillId="25" borderId="0" xfId="8" applyFont="1" applyFill="1" applyAlignment="1">
      <alignment vertical="center" wrapText="1"/>
    </xf>
    <xf numFmtId="0" fontId="51" fillId="0" borderId="0" xfId="8" applyFont="1" applyAlignment="1">
      <alignment horizontal="center" vertical="center" wrapText="1"/>
    </xf>
    <xf numFmtId="0" fontId="43" fillId="24" borderId="1" xfId="8" applyFont="1" applyFill="1" applyBorder="1" applyAlignment="1">
      <alignment horizontal="left" vertical="center" wrapText="1"/>
    </xf>
    <xf numFmtId="172" fontId="45" fillId="25" borderId="1" xfId="8" applyNumberFormat="1" applyFont="1" applyFill="1" applyBorder="1" applyAlignment="1">
      <alignment horizontal="right" vertical="center" wrapText="1"/>
    </xf>
    <xf numFmtId="0" fontId="50" fillId="0" borderId="0" xfId="8" applyFont="1" applyAlignment="1">
      <alignment vertical="center" wrapText="1"/>
    </xf>
    <xf numFmtId="174" fontId="48" fillId="0" borderId="45" xfId="0" applyNumberFormat="1" applyFont="1" applyBorder="1" applyAlignment="1">
      <alignment horizontal="right" vertical="center" wrapText="1"/>
    </xf>
    <xf numFmtId="0" fontId="48" fillId="0" borderId="45" xfId="0" applyFont="1" applyBorder="1" applyAlignment="1">
      <alignment vertical="center" wrapText="1"/>
    </xf>
    <xf numFmtId="0" fontId="35" fillId="5" borderId="1" xfId="0" applyFont="1" applyFill="1" applyBorder="1" applyAlignment="1">
      <alignment horizontal="center" vertical="center"/>
    </xf>
    <xf numFmtId="0" fontId="8" fillId="6" borderId="1" xfId="0" applyFont="1" applyFill="1" applyBorder="1" applyAlignment="1">
      <alignment horizontal="center" vertical="center"/>
    </xf>
    <xf numFmtId="0" fontId="8" fillId="7" borderId="1" xfId="0" applyFont="1" applyFill="1" applyBorder="1" applyAlignment="1">
      <alignment horizontal="center" vertical="center"/>
    </xf>
    <xf numFmtId="0" fontId="35" fillId="13" borderId="1" xfId="0" applyFont="1" applyFill="1" applyBorder="1" applyAlignment="1">
      <alignment horizontal="center" vertical="center"/>
    </xf>
    <xf numFmtId="0" fontId="8" fillId="0" borderId="1" xfId="0" applyFont="1" applyBorder="1" applyAlignment="1">
      <alignment horizontal="center" vertical="center"/>
    </xf>
    <xf numFmtId="0" fontId="8" fillId="6" borderId="3" xfId="0" applyFont="1" applyFill="1" applyBorder="1" applyAlignment="1">
      <alignment horizontal="center" vertical="center"/>
    </xf>
    <xf numFmtId="0" fontId="8" fillId="6" borderId="4" xfId="0" applyFont="1" applyFill="1" applyBorder="1" applyAlignment="1">
      <alignment horizontal="center" vertical="center"/>
    </xf>
    <xf numFmtId="166" fontId="8" fillId="2" borderId="1" xfId="1" applyNumberFormat="1" applyFont="1" applyFill="1" applyBorder="1" applyAlignment="1">
      <alignment horizontal="center" vertical="center" wrapText="1"/>
    </xf>
    <xf numFmtId="0" fontId="8" fillId="4" borderId="3" xfId="0" applyFont="1" applyFill="1" applyBorder="1" applyAlignment="1">
      <alignment horizontal="center" vertical="center"/>
    </xf>
    <xf numFmtId="0" fontId="8" fillId="4" borderId="8" xfId="0" applyFont="1" applyFill="1" applyBorder="1" applyAlignment="1">
      <alignment horizontal="center" vertical="center"/>
    </xf>
    <xf numFmtId="0" fontId="8" fillId="4" borderId="4"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8" xfId="0" applyFont="1" applyFill="1" applyBorder="1" applyAlignment="1">
      <alignment horizontal="center" vertical="center"/>
    </xf>
    <xf numFmtId="0" fontId="8" fillId="20" borderId="8" xfId="0" applyFont="1" applyFill="1" applyBorder="1" applyAlignment="1">
      <alignment horizontal="center" vertical="center"/>
    </xf>
    <xf numFmtId="0" fontId="8" fillId="20" borderId="4" xfId="0" applyFont="1" applyFill="1" applyBorder="1" applyAlignment="1">
      <alignment horizontal="center" vertical="center"/>
    </xf>
    <xf numFmtId="0" fontId="32" fillId="19" borderId="41" xfId="5" applyFont="1" applyFill="1" applyBorder="1" applyAlignment="1">
      <alignment horizontal="center" vertical="center" wrapText="1"/>
    </xf>
    <xf numFmtId="0" fontId="32" fillId="19" borderId="1" xfId="5" applyFont="1" applyFill="1" applyBorder="1" applyAlignment="1">
      <alignment horizontal="center" vertical="center" wrapText="1"/>
    </xf>
    <xf numFmtId="0" fontId="32" fillId="19" borderId="42" xfId="5" applyFont="1" applyFill="1" applyBorder="1" applyAlignment="1">
      <alignment horizontal="center" vertical="center" wrapText="1"/>
    </xf>
    <xf numFmtId="0" fontId="32" fillId="19" borderId="43" xfId="5" applyFont="1" applyFill="1" applyBorder="1" applyAlignment="1">
      <alignment horizontal="center" vertical="center" wrapText="1"/>
    </xf>
    <xf numFmtId="0" fontId="31" fillId="0" borderId="0" xfId="5" applyFont="1" applyAlignment="1">
      <alignment horizontal="center" vertical="center"/>
    </xf>
    <xf numFmtId="0" fontId="10" fillId="0" borderId="0" xfId="5" applyFont="1" applyAlignment="1">
      <alignment horizontal="center" vertical="center" wrapText="1"/>
    </xf>
    <xf numFmtId="0" fontId="10" fillId="0" borderId="0" xfId="5" applyFont="1" applyAlignment="1">
      <alignment horizontal="left" vertical="center" wrapText="1"/>
    </xf>
    <xf numFmtId="0" fontId="10" fillId="0" borderId="1" xfId="0" applyFont="1" applyBorder="1" applyAlignment="1">
      <alignment horizontal="justify" vertical="center" wrapText="1"/>
    </xf>
    <xf numFmtId="0" fontId="10" fillId="0" borderId="0" xfId="5" quotePrefix="1" applyFont="1" applyAlignment="1">
      <alignment horizontal="left" vertical="center" wrapText="1"/>
    </xf>
    <xf numFmtId="0" fontId="34" fillId="0" borderId="0" xfId="5" applyFont="1" applyAlignment="1">
      <alignment horizontal="left" vertical="center" wrapText="1"/>
    </xf>
    <xf numFmtId="0" fontId="32" fillId="29" borderId="40" xfId="0" applyFont="1" applyFill="1" applyBorder="1" applyAlignment="1">
      <alignment horizontal="center" vertical="center" wrapText="1"/>
    </xf>
    <xf numFmtId="0" fontId="32" fillId="29" borderId="48" xfId="0" applyFont="1" applyFill="1" applyBorder="1" applyAlignment="1">
      <alignment horizontal="center" vertical="center" wrapText="1"/>
    </xf>
    <xf numFmtId="0" fontId="10" fillId="0" borderId="1" xfId="0" applyFont="1" applyBorder="1" applyAlignment="1">
      <alignment horizontal="center" vertical="center" wrapText="1"/>
    </xf>
    <xf numFmtId="0" fontId="10" fillId="0" borderId="49" xfId="0" applyFont="1" applyBorder="1" applyAlignment="1">
      <alignment horizontal="center" vertical="center" wrapText="1"/>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4" xfId="0" applyFont="1" applyBorder="1" applyAlignment="1">
      <alignment horizontal="left" vertical="center" wrapText="1"/>
    </xf>
    <xf numFmtId="0" fontId="21" fillId="17" borderId="0" xfId="0" applyFont="1" applyFill="1" applyAlignment="1" applyProtection="1">
      <alignment vertical="center" wrapText="1"/>
      <protection hidden="1"/>
    </xf>
    <xf numFmtId="0" fontId="0" fillId="18" borderId="0" xfId="0" applyFill="1" applyProtection="1">
      <protection hidden="1"/>
    </xf>
    <xf numFmtId="0" fontId="21" fillId="17" borderId="9" xfId="0" applyFont="1" applyFill="1" applyBorder="1" applyAlignment="1" applyProtection="1">
      <alignment vertical="center" wrapText="1"/>
      <protection hidden="1"/>
    </xf>
    <xf numFmtId="0" fontId="15" fillId="18" borderId="12" xfId="0" applyFont="1" applyFill="1" applyBorder="1" applyProtection="1">
      <protection hidden="1"/>
    </xf>
    <xf numFmtId="0" fontId="15" fillId="18" borderId="15" xfId="0" applyFont="1" applyFill="1" applyBorder="1" applyProtection="1">
      <protection hidden="1"/>
    </xf>
    <xf numFmtId="49" fontId="22" fillId="8" borderId="10" xfId="0" applyNumberFormat="1" applyFont="1" applyFill="1" applyBorder="1" applyAlignment="1" applyProtection="1">
      <alignment horizontal="center" vertical="center" wrapText="1"/>
      <protection hidden="1"/>
    </xf>
    <xf numFmtId="0" fontId="15" fillId="0" borderId="11" xfId="0" applyFont="1" applyBorder="1" applyProtection="1">
      <protection hidden="1"/>
    </xf>
    <xf numFmtId="49" fontId="7" fillId="8" borderId="13" xfId="0" applyNumberFormat="1" applyFont="1" applyFill="1" applyBorder="1" applyAlignment="1" applyProtection="1">
      <alignment vertical="center" wrapText="1"/>
      <protection hidden="1"/>
    </xf>
    <xf numFmtId="0" fontId="15" fillId="0" borderId="13" xfId="0" applyFont="1" applyBorder="1" applyProtection="1">
      <protection hidden="1"/>
    </xf>
    <xf numFmtId="0" fontId="15" fillId="0" borderId="14" xfId="0" applyFont="1" applyBorder="1" applyProtection="1">
      <protection hidden="1"/>
    </xf>
    <xf numFmtId="49" fontId="7" fillId="8" borderId="16" xfId="0" applyNumberFormat="1" applyFont="1" applyFill="1" applyBorder="1" applyAlignment="1" applyProtection="1">
      <alignment vertical="center" wrapText="1"/>
      <protection hidden="1"/>
    </xf>
    <xf numFmtId="49" fontId="7" fillId="8" borderId="17" xfId="0" applyNumberFormat="1" applyFont="1" applyFill="1" applyBorder="1" applyAlignment="1" applyProtection="1">
      <alignment vertical="center" wrapText="1"/>
      <protection hidden="1"/>
    </xf>
    <xf numFmtId="49" fontId="7" fillId="8" borderId="18" xfId="0" applyNumberFormat="1" applyFont="1" applyFill="1" applyBorder="1" applyAlignment="1" applyProtection="1">
      <alignment vertical="center" wrapText="1"/>
      <protection hidden="1"/>
    </xf>
    <xf numFmtId="49" fontId="25" fillId="8" borderId="13" xfId="0" applyNumberFormat="1" applyFont="1" applyFill="1" applyBorder="1" applyAlignment="1" applyProtection="1">
      <alignment vertical="center" wrapText="1"/>
      <protection hidden="1"/>
    </xf>
    <xf numFmtId="0" fontId="3" fillId="8" borderId="19" xfId="0" applyFont="1" applyFill="1" applyBorder="1" applyAlignment="1" applyProtection="1">
      <alignment vertical="center" wrapText="1"/>
      <protection hidden="1"/>
    </xf>
    <xf numFmtId="0" fontId="15" fillId="0" borderId="21" xfId="0" applyFont="1" applyBorder="1" applyProtection="1">
      <protection hidden="1"/>
    </xf>
    <xf numFmtId="49" fontId="18" fillId="15" borderId="19" xfId="0" applyNumberFormat="1" applyFont="1" applyFill="1" applyBorder="1" applyAlignment="1">
      <alignment vertical="center" wrapText="1"/>
    </xf>
    <xf numFmtId="0" fontId="28" fillId="16" borderId="21" xfId="0" applyFont="1" applyFill="1" applyBorder="1"/>
    <xf numFmtId="0" fontId="3" fillId="15" borderId="19" xfId="0" applyFont="1" applyFill="1" applyBorder="1" applyAlignment="1" applyProtection="1">
      <alignment vertical="center" wrapText="1"/>
      <protection hidden="1"/>
    </xf>
    <xf numFmtId="0" fontId="15" fillId="16" borderId="21" xfId="0" applyFont="1" applyFill="1" applyBorder="1" applyProtection="1">
      <protection hidden="1"/>
    </xf>
    <xf numFmtId="49" fontId="3" fillId="8" borderId="19" xfId="0" applyNumberFormat="1" applyFont="1" applyFill="1" applyBorder="1" applyAlignment="1">
      <alignment vertical="center" wrapText="1"/>
    </xf>
    <xf numFmtId="0" fontId="15" fillId="0" borderId="21" xfId="0" applyFont="1" applyBorder="1"/>
    <xf numFmtId="49" fontId="18" fillId="12" borderId="19" xfId="0" applyNumberFormat="1" applyFont="1" applyFill="1" applyBorder="1" applyAlignment="1">
      <alignment horizontal="left" vertical="center" wrapText="1"/>
    </xf>
    <xf numFmtId="49" fontId="18" fillId="12" borderId="20" xfId="0" applyNumberFormat="1" applyFont="1" applyFill="1" applyBorder="1" applyAlignment="1">
      <alignment horizontal="left" vertical="center" wrapText="1"/>
    </xf>
    <xf numFmtId="0" fontId="3" fillId="8" borderId="36" xfId="0" applyFont="1" applyFill="1" applyBorder="1" applyAlignment="1">
      <alignment vertical="center" wrapText="1"/>
    </xf>
    <xf numFmtId="0" fontId="3" fillId="8" borderId="37" xfId="0" applyFont="1" applyFill="1" applyBorder="1" applyAlignment="1">
      <alignment vertical="center" wrapText="1"/>
    </xf>
    <xf numFmtId="0" fontId="3" fillId="8" borderId="38" xfId="0" applyFont="1" applyFill="1" applyBorder="1" applyAlignment="1">
      <alignment vertical="center" wrapText="1"/>
    </xf>
    <xf numFmtId="0" fontId="20" fillId="8" borderId="33" xfId="0" applyFont="1" applyFill="1" applyBorder="1" applyAlignment="1">
      <alignment horizontal="right" vertical="center" wrapText="1"/>
    </xf>
    <xf numFmtId="0" fontId="15" fillId="0" borderId="10" xfId="0" applyFont="1" applyBorder="1"/>
    <xf numFmtId="49" fontId="5" fillId="9" borderId="19" xfId="0" applyNumberFormat="1" applyFont="1" applyFill="1" applyBorder="1" applyAlignment="1">
      <alignment horizontal="center" vertical="center" wrapText="1"/>
    </xf>
    <xf numFmtId="0" fontId="15" fillId="0" borderId="20" xfId="0" applyFont="1" applyBorder="1"/>
    <xf numFmtId="49" fontId="17" fillId="10" borderId="29" xfId="0" applyNumberFormat="1" applyFont="1" applyFill="1" applyBorder="1" applyAlignment="1">
      <alignment horizontal="center" vertical="center" wrapText="1"/>
    </xf>
    <xf numFmtId="49" fontId="17" fillId="10" borderId="30" xfId="0" applyNumberFormat="1" applyFont="1" applyFill="1" applyBorder="1" applyAlignment="1">
      <alignment horizontal="center" vertical="center" wrapText="1"/>
    </xf>
    <xf numFmtId="0" fontId="5" fillId="9" borderId="19" xfId="0" applyFont="1" applyFill="1" applyBorder="1" applyAlignment="1">
      <alignment horizontal="center" vertical="center" wrapText="1"/>
    </xf>
    <xf numFmtId="0" fontId="19" fillId="8" borderId="19" xfId="0" applyFont="1" applyFill="1" applyBorder="1" applyAlignment="1" applyProtection="1">
      <alignment vertical="center" wrapText="1"/>
      <protection hidden="1"/>
    </xf>
    <xf numFmtId="49" fontId="18" fillId="12" borderId="21" xfId="0" applyNumberFormat="1" applyFont="1" applyFill="1" applyBorder="1" applyAlignment="1">
      <alignment horizontal="left" vertical="center" wrapText="1"/>
    </xf>
    <xf numFmtId="0" fontId="3" fillId="8" borderId="19" xfId="0" applyFont="1" applyFill="1" applyBorder="1" applyAlignment="1">
      <alignment vertical="center" wrapText="1"/>
    </xf>
    <xf numFmtId="0" fontId="3" fillId="15" borderId="19" xfId="0" applyFont="1" applyFill="1" applyBorder="1" applyAlignment="1">
      <alignment vertical="center" wrapText="1"/>
    </xf>
    <xf numFmtId="0" fontId="15" fillId="16" borderId="21" xfId="0" applyFont="1" applyFill="1" applyBorder="1"/>
    <xf numFmtId="0" fontId="19" fillId="8" borderId="19" xfId="0" applyFont="1" applyFill="1" applyBorder="1" applyAlignment="1">
      <alignment vertical="center" wrapText="1"/>
    </xf>
    <xf numFmtId="49" fontId="18" fillId="12" borderId="19" xfId="0" applyNumberFormat="1" applyFont="1" applyFill="1" applyBorder="1" applyAlignment="1">
      <alignment horizontal="center" vertical="center" wrapText="1"/>
    </xf>
    <xf numFmtId="49" fontId="18" fillId="12" borderId="20" xfId="0" applyNumberFormat="1" applyFont="1" applyFill="1" applyBorder="1" applyAlignment="1">
      <alignment horizontal="center" vertical="center" wrapText="1"/>
    </xf>
    <xf numFmtId="0" fontId="3" fillId="0" borderId="19" xfId="0" applyFont="1" applyBorder="1" applyAlignment="1">
      <alignment horizontal="left" vertical="center" wrapText="1"/>
    </xf>
    <xf numFmtId="0" fontId="3" fillId="0" borderId="21" xfId="0" applyFont="1" applyBorder="1" applyAlignment="1">
      <alignment horizontal="left" vertical="center" wrapText="1"/>
    </xf>
    <xf numFmtId="0" fontId="3" fillId="0" borderId="19" xfId="0" applyFont="1" applyBorder="1" applyAlignment="1">
      <alignment vertical="center" wrapText="1"/>
    </xf>
    <xf numFmtId="0" fontId="5" fillId="0" borderId="19" xfId="0" applyFont="1" applyBorder="1" applyAlignment="1">
      <alignment vertical="center" wrapText="1"/>
    </xf>
    <xf numFmtId="0" fontId="5" fillId="9" borderId="19" xfId="0" applyFont="1" applyFill="1" applyBorder="1" applyAlignment="1">
      <alignment vertical="center" wrapText="1"/>
    </xf>
    <xf numFmtId="49" fontId="9" fillId="8" borderId="9" xfId="0" applyNumberFormat="1" applyFont="1" applyFill="1" applyBorder="1" applyAlignment="1">
      <alignment horizontal="center" vertical="center" wrapText="1"/>
    </xf>
    <xf numFmtId="0" fontId="15" fillId="0" borderId="12" xfId="0" applyFont="1" applyBorder="1"/>
    <xf numFmtId="0" fontId="15" fillId="0" borderId="15" xfId="0" applyFont="1" applyBorder="1"/>
    <xf numFmtId="49" fontId="14" fillId="8" borderId="10" xfId="0" applyNumberFormat="1" applyFont="1" applyFill="1" applyBorder="1" applyAlignment="1">
      <alignment horizontal="center" vertical="center" wrapText="1"/>
    </xf>
    <xf numFmtId="0" fontId="15" fillId="0" borderId="11" xfId="0" applyFont="1" applyBorder="1"/>
    <xf numFmtId="49" fontId="16" fillId="9" borderId="13" xfId="0" applyNumberFormat="1" applyFont="1" applyFill="1" applyBorder="1" applyAlignment="1">
      <alignment horizontal="center" vertical="center" wrapText="1"/>
    </xf>
    <xf numFmtId="0" fontId="15" fillId="0" borderId="13" xfId="0" applyFont="1" applyBorder="1"/>
    <xf numFmtId="0" fontId="15" fillId="0" borderId="14" xfId="0" applyFont="1" applyBorder="1"/>
    <xf numFmtId="49" fontId="14" fillId="8" borderId="13" xfId="0" applyNumberFormat="1" applyFont="1" applyFill="1" applyBorder="1" applyAlignment="1">
      <alignment horizontal="center" vertical="center" wrapText="1"/>
    </xf>
    <xf numFmtId="49" fontId="5" fillId="8" borderId="16" xfId="0" applyNumberFormat="1" applyFont="1" applyFill="1" applyBorder="1" applyAlignment="1">
      <alignment vertical="center" wrapText="1"/>
    </xf>
    <xf numFmtId="0" fontId="15" fillId="0" borderId="17" xfId="0" applyFont="1" applyBorder="1"/>
    <xf numFmtId="0" fontId="15" fillId="0" borderId="18" xfId="0" applyFont="1" applyBorder="1"/>
    <xf numFmtId="49" fontId="17" fillId="10" borderId="19" xfId="0" applyNumberFormat="1" applyFont="1" applyFill="1" applyBorder="1" applyAlignment="1">
      <alignment horizontal="center" vertical="center" wrapText="1"/>
    </xf>
    <xf numFmtId="49" fontId="5" fillId="9" borderId="25" xfId="0" applyNumberFormat="1" applyFont="1" applyFill="1" applyBorder="1" applyAlignment="1">
      <alignment horizontal="center" vertical="center" wrapText="1"/>
    </xf>
    <xf numFmtId="0" fontId="15" fillId="0" borderId="26" xfId="0" applyFont="1" applyBorder="1"/>
    <xf numFmtId="4" fontId="3" fillId="0" borderId="20" xfId="0" applyNumberFormat="1" applyFont="1" applyBorder="1" applyAlignment="1">
      <alignment horizontal="center" vertical="center"/>
    </xf>
    <xf numFmtId="49" fontId="17" fillId="10" borderId="27" xfId="0" applyNumberFormat="1" applyFont="1" applyFill="1" applyBorder="1" applyAlignment="1">
      <alignment horizontal="center" vertical="center" wrapText="1"/>
    </xf>
    <xf numFmtId="49" fontId="17" fillId="10" borderId="0" xfId="0" applyNumberFormat="1" applyFont="1" applyFill="1" applyAlignment="1">
      <alignment horizontal="center" vertical="center" wrapText="1"/>
    </xf>
  </cellXfs>
  <cellStyles count="9">
    <cellStyle name="Bình thường" xfId="0" builtinId="0"/>
    <cellStyle name="Comma 3" xfId="6" xr:uid="{C2E4A3AE-CB96-F346-BE93-1B80A56CDE83}"/>
    <cellStyle name="Dấu phẩy" xfId="1" builtinId="3"/>
    <cellStyle name="Dấu phẩy [0]" xfId="4" builtinId="6"/>
    <cellStyle name="Normal 2" xfId="3" xr:uid="{EAC9FF0E-2237-4343-9B51-F31FFD50D710}"/>
    <cellStyle name="Normal 3" xfId="8" xr:uid="{7C3E0302-A1C3-4FB0-B6D4-D2DABE5A6EB7}"/>
    <cellStyle name="Normal 5" xfId="5" xr:uid="{5AF3AD7A-84BE-E94B-AF1F-1D57FC1CCED2}"/>
    <cellStyle name="Percent 3" xfId="7" xr:uid="{F5ABFFD2-91A6-1048-84A5-2F4BF3CE0F73}"/>
    <cellStyle name="Phần trăm" xfId="2" builtinId="5"/>
  </cellStyles>
  <dxfs count="85">
    <dxf>
      <fill>
        <patternFill patternType="solid">
          <fgColor rgb="FFEA9999"/>
          <bgColor rgb="FFEA9999"/>
        </patternFill>
      </fill>
    </dxf>
    <dxf>
      <fill>
        <patternFill patternType="solid">
          <fgColor rgb="FF00FFFF"/>
          <bgColor rgb="FF00FFFF"/>
        </patternFill>
      </fill>
    </dxf>
    <dxf>
      <fill>
        <patternFill patternType="solid">
          <fgColor rgb="FF9FC5E8"/>
          <bgColor rgb="FF9FC5E8"/>
        </patternFill>
      </fill>
    </dxf>
    <dxf>
      <fill>
        <patternFill patternType="solid">
          <fgColor rgb="FFCCCCFF"/>
          <bgColor rgb="FFCCCCFF"/>
        </patternFill>
      </fill>
    </dxf>
    <dxf>
      <fill>
        <patternFill patternType="solid">
          <fgColor rgb="FFFEF2CB"/>
          <bgColor rgb="FFFEF2CB"/>
        </patternFill>
      </fill>
    </dxf>
    <dxf>
      <fill>
        <patternFill patternType="solid">
          <fgColor rgb="FFE2EFD9"/>
          <bgColor rgb="FFE2EFD9"/>
        </patternFill>
      </fill>
    </dxf>
    <dxf>
      <fill>
        <patternFill patternType="solid">
          <fgColor rgb="FFCC99FF"/>
          <bgColor rgb="FFCC99FF"/>
        </patternFill>
      </fill>
    </dxf>
    <dxf>
      <fill>
        <patternFill patternType="solid">
          <fgColor rgb="FFB2B2B2"/>
          <bgColor rgb="FFB2B2B2"/>
        </patternFill>
      </fill>
    </dxf>
    <dxf>
      <fill>
        <patternFill patternType="solid">
          <fgColor rgb="FF00FFFF"/>
          <bgColor rgb="FF00FFFF"/>
        </patternFill>
      </fill>
    </dxf>
    <dxf>
      <fill>
        <patternFill patternType="solid">
          <fgColor rgb="FF9FC5E8"/>
          <bgColor rgb="FF9FC5E8"/>
        </patternFill>
      </fill>
    </dxf>
    <dxf>
      <fill>
        <patternFill patternType="solid">
          <fgColor rgb="FFCCCCFF"/>
          <bgColor rgb="FFCCCCFF"/>
        </patternFill>
      </fill>
    </dxf>
    <dxf>
      <fill>
        <patternFill patternType="solid">
          <fgColor rgb="FFFEF2CB"/>
          <bgColor rgb="FFFEF2CB"/>
        </patternFill>
      </fill>
    </dxf>
    <dxf>
      <fill>
        <patternFill patternType="solid">
          <fgColor rgb="FFE2EFD9"/>
          <bgColor rgb="FFE2EFD9"/>
        </patternFill>
      </fill>
    </dxf>
    <dxf>
      <fill>
        <patternFill patternType="solid">
          <fgColor rgb="FFCC99FF"/>
          <bgColor rgb="FFCC99FF"/>
        </patternFill>
      </fill>
    </dxf>
    <dxf>
      <fill>
        <patternFill patternType="solid">
          <fgColor rgb="FFB2B2B2"/>
          <bgColor rgb="FFB2B2B2"/>
        </patternFill>
      </fill>
    </dxf>
    <dxf>
      <fill>
        <patternFill patternType="solid">
          <fgColor rgb="FF00FFFF"/>
          <bgColor rgb="FF00FFFF"/>
        </patternFill>
      </fill>
    </dxf>
    <dxf>
      <fill>
        <patternFill patternType="solid">
          <fgColor rgb="FF9FC5E8"/>
          <bgColor rgb="FF9FC5E8"/>
        </patternFill>
      </fill>
    </dxf>
    <dxf>
      <fill>
        <patternFill patternType="solid">
          <fgColor rgb="FFCCCCFF"/>
          <bgColor rgb="FFCCCCFF"/>
        </patternFill>
      </fill>
    </dxf>
    <dxf>
      <fill>
        <patternFill patternType="solid">
          <fgColor rgb="FFFEF2CB"/>
          <bgColor rgb="FFFEF2CB"/>
        </patternFill>
      </fill>
    </dxf>
    <dxf>
      <fill>
        <patternFill patternType="solid">
          <fgColor rgb="FFE2EFD9"/>
          <bgColor rgb="FFE2EFD9"/>
        </patternFill>
      </fill>
    </dxf>
    <dxf>
      <fill>
        <patternFill patternType="solid">
          <fgColor rgb="FFCC99FF"/>
          <bgColor rgb="FFCC99FF"/>
        </patternFill>
      </fill>
    </dxf>
    <dxf>
      <fill>
        <patternFill patternType="solid">
          <fgColor rgb="FFB2B2B2"/>
          <bgColor rgb="FFB2B2B2"/>
        </patternFill>
      </fill>
    </dxf>
    <dxf>
      <fill>
        <patternFill patternType="solid">
          <fgColor rgb="FF00FFFF"/>
          <bgColor rgb="FF00FFFF"/>
        </patternFill>
      </fill>
    </dxf>
    <dxf>
      <fill>
        <patternFill patternType="solid">
          <fgColor rgb="FF9FC5E8"/>
          <bgColor rgb="FF9FC5E8"/>
        </patternFill>
      </fill>
    </dxf>
    <dxf>
      <fill>
        <patternFill patternType="solid">
          <fgColor rgb="FFCCCCFF"/>
          <bgColor rgb="FFCCCCFF"/>
        </patternFill>
      </fill>
    </dxf>
    <dxf>
      <fill>
        <patternFill patternType="solid">
          <fgColor rgb="FFFEF2CB"/>
          <bgColor rgb="FFFEF2CB"/>
        </patternFill>
      </fill>
    </dxf>
    <dxf>
      <fill>
        <patternFill patternType="solid">
          <fgColor rgb="FFE2EFD9"/>
          <bgColor rgb="FFE2EFD9"/>
        </patternFill>
      </fill>
    </dxf>
    <dxf>
      <fill>
        <patternFill patternType="solid">
          <fgColor rgb="FFCC99FF"/>
          <bgColor rgb="FFCC99FF"/>
        </patternFill>
      </fill>
    </dxf>
    <dxf>
      <fill>
        <patternFill patternType="solid">
          <fgColor rgb="FFB2B2B2"/>
          <bgColor rgb="FFB2B2B2"/>
        </patternFill>
      </fill>
    </dxf>
    <dxf>
      <fill>
        <patternFill patternType="solid">
          <fgColor rgb="FF00FFFF"/>
          <bgColor rgb="FF00FFFF"/>
        </patternFill>
      </fill>
    </dxf>
    <dxf>
      <fill>
        <patternFill patternType="solid">
          <fgColor rgb="FF9FC5E8"/>
          <bgColor rgb="FF9FC5E8"/>
        </patternFill>
      </fill>
    </dxf>
    <dxf>
      <fill>
        <patternFill patternType="solid">
          <fgColor rgb="FFCCCCFF"/>
          <bgColor rgb="FFCCCCFF"/>
        </patternFill>
      </fill>
    </dxf>
    <dxf>
      <fill>
        <patternFill patternType="solid">
          <fgColor rgb="FFFEF2CB"/>
          <bgColor rgb="FFFEF2CB"/>
        </patternFill>
      </fill>
    </dxf>
    <dxf>
      <fill>
        <patternFill patternType="solid">
          <fgColor rgb="FFE2EFD9"/>
          <bgColor rgb="FFE2EFD9"/>
        </patternFill>
      </fill>
    </dxf>
    <dxf>
      <fill>
        <patternFill patternType="solid">
          <fgColor rgb="FFCC99FF"/>
          <bgColor rgb="FFCC99FF"/>
        </patternFill>
      </fill>
    </dxf>
    <dxf>
      <fill>
        <patternFill patternType="solid">
          <fgColor rgb="FFB2B2B2"/>
          <bgColor rgb="FFB2B2B2"/>
        </patternFill>
      </fill>
    </dxf>
    <dxf>
      <fill>
        <patternFill patternType="solid">
          <fgColor rgb="FF00FFFF"/>
          <bgColor rgb="FF00FFFF"/>
        </patternFill>
      </fill>
    </dxf>
    <dxf>
      <fill>
        <patternFill patternType="solid">
          <fgColor rgb="FF9FC5E8"/>
          <bgColor rgb="FF9FC5E8"/>
        </patternFill>
      </fill>
    </dxf>
    <dxf>
      <fill>
        <patternFill patternType="solid">
          <fgColor rgb="FFCCCCFF"/>
          <bgColor rgb="FFCCCCFF"/>
        </patternFill>
      </fill>
    </dxf>
    <dxf>
      <fill>
        <patternFill patternType="solid">
          <fgColor rgb="FFFEF2CB"/>
          <bgColor rgb="FFFEF2CB"/>
        </patternFill>
      </fill>
    </dxf>
    <dxf>
      <fill>
        <patternFill patternType="solid">
          <fgColor rgb="FFE2EFD9"/>
          <bgColor rgb="FFE2EFD9"/>
        </patternFill>
      </fill>
    </dxf>
    <dxf>
      <fill>
        <patternFill patternType="solid">
          <fgColor rgb="FFCC99FF"/>
          <bgColor rgb="FFCC99FF"/>
        </patternFill>
      </fill>
    </dxf>
    <dxf>
      <fill>
        <patternFill patternType="solid">
          <fgColor rgb="FFB2B2B2"/>
          <bgColor rgb="FFB2B2B2"/>
        </patternFill>
      </fill>
    </dxf>
    <dxf>
      <fill>
        <patternFill patternType="solid">
          <fgColor rgb="FF00FFFF"/>
          <bgColor rgb="FF00FFFF"/>
        </patternFill>
      </fill>
    </dxf>
    <dxf>
      <fill>
        <patternFill patternType="solid">
          <fgColor rgb="FF9FC5E8"/>
          <bgColor rgb="FF9FC5E8"/>
        </patternFill>
      </fill>
    </dxf>
    <dxf>
      <fill>
        <patternFill patternType="solid">
          <fgColor rgb="FFCCCCFF"/>
          <bgColor rgb="FFCCCCFF"/>
        </patternFill>
      </fill>
    </dxf>
    <dxf>
      <fill>
        <patternFill patternType="solid">
          <fgColor rgb="FFFEF2CB"/>
          <bgColor rgb="FFFEF2CB"/>
        </patternFill>
      </fill>
    </dxf>
    <dxf>
      <fill>
        <patternFill patternType="solid">
          <fgColor rgb="FFE2EFD9"/>
          <bgColor rgb="FFE2EFD9"/>
        </patternFill>
      </fill>
    </dxf>
    <dxf>
      <fill>
        <patternFill patternType="solid">
          <fgColor rgb="FFCC99FF"/>
          <bgColor rgb="FFCC99FF"/>
        </patternFill>
      </fill>
    </dxf>
    <dxf>
      <fill>
        <patternFill patternType="solid">
          <fgColor rgb="FFB2B2B2"/>
          <bgColor rgb="FFB2B2B2"/>
        </patternFill>
      </fill>
    </dxf>
    <dxf>
      <fill>
        <patternFill patternType="solid">
          <fgColor rgb="FF00FFFF"/>
          <bgColor rgb="FF00FFFF"/>
        </patternFill>
      </fill>
    </dxf>
    <dxf>
      <fill>
        <patternFill patternType="solid">
          <fgColor rgb="FF9FC5E8"/>
          <bgColor rgb="FF9FC5E8"/>
        </patternFill>
      </fill>
    </dxf>
    <dxf>
      <fill>
        <patternFill patternType="solid">
          <fgColor rgb="FFCCCCFF"/>
          <bgColor rgb="FFCCCCFF"/>
        </patternFill>
      </fill>
    </dxf>
    <dxf>
      <fill>
        <patternFill patternType="solid">
          <fgColor rgb="FFFEF2CB"/>
          <bgColor rgb="FFFEF2CB"/>
        </patternFill>
      </fill>
    </dxf>
    <dxf>
      <fill>
        <patternFill patternType="solid">
          <fgColor rgb="FFE2EFD9"/>
          <bgColor rgb="FFE2EFD9"/>
        </patternFill>
      </fill>
    </dxf>
    <dxf>
      <fill>
        <patternFill patternType="solid">
          <fgColor rgb="FFCC99FF"/>
          <bgColor rgb="FFCC99FF"/>
        </patternFill>
      </fill>
    </dxf>
    <dxf>
      <fill>
        <patternFill patternType="solid">
          <fgColor rgb="FFB2B2B2"/>
          <bgColor rgb="FFB2B2B2"/>
        </patternFill>
      </fill>
    </dxf>
    <dxf>
      <fill>
        <patternFill patternType="solid">
          <fgColor rgb="FF00FFFF"/>
          <bgColor rgb="FF00FFFF"/>
        </patternFill>
      </fill>
    </dxf>
    <dxf>
      <fill>
        <patternFill patternType="solid">
          <fgColor rgb="FF9FC5E8"/>
          <bgColor rgb="FF9FC5E8"/>
        </patternFill>
      </fill>
    </dxf>
    <dxf>
      <fill>
        <patternFill patternType="solid">
          <fgColor rgb="FFCCCCFF"/>
          <bgColor rgb="FFCCCCFF"/>
        </patternFill>
      </fill>
    </dxf>
    <dxf>
      <fill>
        <patternFill patternType="solid">
          <fgColor rgb="FFFEF2CB"/>
          <bgColor rgb="FFFEF2CB"/>
        </patternFill>
      </fill>
    </dxf>
    <dxf>
      <fill>
        <patternFill patternType="solid">
          <fgColor rgb="FFE2EFD9"/>
          <bgColor rgb="FFE2EFD9"/>
        </patternFill>
      </fill>
    </dxf>
    <dxf>
      <fill>
        <patternFill patternType="solid">
          <fgColor rgb="FFCC99FF"/>
          <bgColor rgb="FFCC99FF"/>
        </patternFill>
      </fill>
    </dxf>
    <dxf>
      <fill>
        <patternFill patternType="solid">
          <fgColor rgb="FFB2B2B2"/>
          <bgColor rgb="FFB2B2B2"/>
        </patternFill>
      </fill>
    </dxf>
    <dxf>
      <fill>
        <patternFill patternType="solid">
          <fgColor rgb="FF00FFFF"/>
          <bgColor rgb="FF00FFFF"/>
        </patternFill>
      </fill>
    </dxf>
    <dxf>
      <fill>
        <patternFill patternType="solid">
          <fgColor rgb="FF9FC5E8"/>
          <bgColor rgb="FF9FC5E8"/>
        </patternFill>
      </fill>
    </dxf>
    <dxf>
      <fill>
        <patternFill patternType="solid">
          <fgColor rgb="FFCCCCFF"/>
          <bgColor rgb="FFCCCCFF"/>
        </patternFill>
      </fill>
    </dxf>
    <dxf>
      <fill>
        <patternFill patternType="solid">
          <fgColor rgb="FFFEF2CB"/>
          <bgColor rgb="FFFEF2CB"/>
        </patternFill>
      </fill>
    </dxf>
    <dxf>
      <fill>
        <patternFill patternType="solid">
          <fgColor rgb="FFE2EFD9"/>
          <bgColor rgb="FFE2EFD9"/>
        </patternFill>
      </fill>
    </dxf>
    <dxf>
      <fill>
        <patternFill patternType="solid">
          <fgColor rgb="FFCC99FF"/>
          <bgColor rgb="FFCC99FF"/>
        </patternFill>
      </fill>
    </dxf>
    <dxf>
      <fill>
        <patternFill patternType="solid">
          <fgColor rgb="FFB2B2B2"/>
          <bgColor rgb="FFB2B2B2"/>
        </patternFill>
      </fill>
    </dxf>
    <dxf>
      <fill>
        <patternFill patternType="solid">
          <fgColor rgb="FF00FFFF"/>
          <bgColor rgb="FF00FFFF"/>
        </patternFill>
      </fill>
    </dxf>
    <dxf>
      <fill>
        <patternFill patternType="solid">
          <fgColor rgb="FF9FC5E8"/>
          <bgColor rgb="FF9FC5E8"/>
        </patternFill>
      </fill>
    </dxf>
    <dxf>
      <fill>
        <patternFill patternType="solid">
          <fgColor rgb="FFCCCCFF"/>
          <bgColor rgb="FFCCCCFF"/>
        </patternFill>
      </fill>
    </dxf>
    <dxf>
      <fill>
        <patternFill patternType="solid">
          <fgColor rgb="FFFEF2CB"/>
          <bgColor rgb="FFFEF2CB"/>
        </patternFill>
      </fill>
    </dxf>
    <dxf>
      <fill>
        <patternFill patternType="solid">
          <fgColor rgb="FFE2EFD9"/>
          <bgColor rgb="FFE2EFD9"/>
        </patternFill>
      </fill>
    </dxf>
    <dxf>
      <fill>
        <patternFill patternType="solid">
          <fgColor rgb="FFCC99FF"/>
          <bgColor rgb="FFCC99FF"/>
        </patternFill>
      </fill>
    </dxf>
    <dxf>
      <fill>
        <patternFill patternType="solid">
          <fgColor rgb="FFB2B2B2"/>
          <bgColor rgb="FFB2B2B2"/>
        </patternFill>
      </fill>
    </dxf>
    <dxf>
      <fill>
        <patternFill patternType="solid">
          <fgColor rgb="FF00FFFF"/>
          <bgColor rgb="FF00FFFF"/>
        </patternFill>
      </fill>
    </dxf>
    <dxf>
      <fill>
        <patternFill patternType="solid">
          <fgColor rgb="FF9FC5E8"/>
          <bgColor rgb="FF9FC5E8"/>
        </patternFill>
      </fill>
    </dxf>
    <dxf>
      <fill>
        <patternFill patternType="solid">
          <fgColor rgb="FFCCCCFF"/>
          <bgColor rgb="FFCCCCFF"/>
        </patternFill>
      </fill>
    </dxf>
    <dxf>
      <fill>
        <patternFill patternType="solid">
          <fgColor rgb="FFFEF2CB"/>
          <bgColor rgb="FFFEF2CB"/>
        </patternFill>
      </fill>
    </dxf>
    <dxf>
      <fill>
        <patternFill patternType="solid">
          <fgColor rgb="FFE2EFD9"/>
          <bgColor rgb="FFE2EFD9"/>
        </patternFill>
      </fill>
    </dxf>
    <dxf>
      <fill>
        <patternFill patternType="solid">
          <fgColor rgb="FFCC99FF"/>
          <bgColor rgb="FFCC99FF"/>
        </patternFill>
      </fill>
    </dxf>
    <dxf>
      <fill>
        <patternFill patternType="solid">
          <fgColor rgb="FFB2B2B2"/>
          <bgColor rgb="FFB2B2B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localadmin\Downloads\SFR_Phieu_Tinh_Gia_Khach_Hang_V3%20(3).xlsx" TargetMode="External"/><Relationship Id="rId1" Type="http://schemas.openxmlformats.org/officeDocument/2006/relationships/externalLinkPath" Target="file:///C:\Users\localadmin\Downloads\SFR_Phieu_Tinh_Gia_Khach_Hang_V3%2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HIẾU TÍNH GIÁ"/>
      <sheetName val="Bảng giá đất Farm Resort"/>
      <sheetName val="CSBH"/>
      <sheetName val="NHẬP THÔNG TIN"/>
    </sheetNames>
    <sheetDataSet>
      <sheetData sheetId="0"/>
      <sheetData sheetId="1"/>
      <sheetData sheetId="2">
        <row r="20">
          <cell r="D20" t="str">
            <v>Ký HĐ chuyển nhượng QSDĐ</v>
          </cell>
        </row>
      </sheetData>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FF6C4-70E9-4B1E-AA91-8FC1994D510C}">
  <sheetPr codeName="Trang_tính1"/>
  <dimension ref="A1:BB49"/>
  <sheetViews>
    <sheetView tabSelected="1" zoomScale="80" zoomScaleNormal="80" workbookViewId="0">
      <pane xSplit="13" ySplit="5" topLeftCell="R6" activePane="bottomRight" state="frozen"/>
      <selection pane="topRight" activeCell="I1" sqref="I1"/>
      <selection pane="bottomLeft" activeCell="A8" sqref="A8"/>
      <selection pane="bottomRight" activeCell="S22" sqref="S22"/>
    </sheetView>
  </sheetViews>
  <sheetFormatPr defaultColWidth="8.83203125" defaultRowHeight="15"/>
  <cols>
    <col min="1" max="1" width="5.1640625" style="2" customWidth="1"/>
    <col min="2" max="2" width="8.83203125" style="2" customWidth="1"/>
    <col min="3" max="3" width="7.1640625" style="3" customWidth="1"/>
    <col min="4" max="4" width="13.5" style="2" customWidth="1"/>
    <col min="5" max="9" width="13.5" style="2" hidden="1" customWidth="1"/>
    <col min="10" max="11" width="13.5" style="2" customWidth="1"/>
    <col min="12" max="13" width="13.1640625" style="2" customWidth="1"/>
    <col min="14" max="14" width="19.5" style="4" hidden="1" customWidth="1"/>
    <col min="15" max="15" width="18.5" style="4" hidden="1" customWidth="1"/>
    <col min="16" max="16" width="20.5" style="4" hidden="1" customWidth="1"/>
    <col min="17" max="17" width="12.5" style="4" hidden="1" customWidth="1"/>
    <col min="18" max="18" width="17.83203125" style="2" customWidth="1"/>
    <col min="19" max="19" width="14.83203125" style="2" customWidth="1"/>
    <col min="20" max="20" width="20.5" style="2" customWidth="1"/>
    <col min="21" max="21" width="13.5" style="148" bestFit="1" customWidth="1"/>
    <col min="22" max="22" width="16.5" style="2" bestFit="1" customWidth="1"/>
    <col min="23" max="24" width="26.5" style="2" bestFit="1" customWidth="1"/>
    <col min="25" max="25" width="18.83203125" style="2" bestFit="1" customWidth="1"/>
    <col min="26" max="26" width="21.5" style="2" customWidth="1"/>
    <col min="27" max="27" width="18.83203125" style="2" bestFit="1" customWidth="1"/>
    <col min="28" max="28" width="20.6640625" style="2" customWidth="1"/>
    <col min="29" max="29" width="12.5" style="2" customWidth="1"/>
    <col min="30" max="30" width="8.83203125" style="2"/>
    <col min="31" max="31" width="16.5" style="2" bestFit="1" customWidth="1"/>
    <col min="32" max="32" width="19" style="2" bestFit="1" customWidth="1"/>
    <col min="33" max="33" width="20" style="2" bestFit="1" customWidth="1"/>
    <col min="34" max="34" width="19" style="2" bestFit="1" customWidth="1"/>
    <col min="35" max="35" width="20" style="2" bestFit="1" customWidth="1"/>
    <col min="36" max="36" width="20.5" style="2" customWidth="1"/>
    <col min="37" max="42" width="20.1640625" style="2" customWidth="1"/>
    <col min="43" max="48" width="21" style="2" customWidth="1"/>
    <col min="49" max="53" width="21.5" style="2" customWidth="1"/>
    <col min="54" max="54" width="23.5" style="2" customWidth="1"/>
    <col min="55" max="16384" width="8.83203125" style="2"/>
  </cols>
  <sheetData>
    <row r="1" spans="1:54" ht="13.9" customHeight="1">
      <c r="D1" s="2">
        <v>1</v>
      </c>
      <c r="E1" s="2">
        <v>2</v>
      </c>
      <c r="F1" s="2">
        <v>3</v>
      </c>
      <c r="G1" s="2">
        <v>4</v>
      </c>
      <c r="H1" s="2">
        <v>5</v>
      </c>
      <c r="I1" s="2">
        <v>6</v>
      </c>
      <c r="J1" s="2">
        <v>7</v>
      </c>
      <c r="K1" s="2">
        <v>8</v>
      </c>
      <c r="L1" s="2">
        <v>9</v>
      </c>
      <c r="M1" s="2">
        <v>10</v>
      </c>
      <c r="N1" s="2">
        <v>11</v>
      </c>
      <c r="O1" s="2">
        <v>12</v>
      </c>
      <c r="P1" s="2">
        <v>13</v>
      </c>
      <c r="Q1" s="2">
        <v>14</v>
      </c>
      <c r="R1" s="2">
        <v>15</v>
      </c>
      <c r="S1" s="2">
        <v>16</v>
      </c>
      <c r="T1" s="2">
        <v>17</v>
      </c>
      <c r="U1" s="148">
        <v>18</v>
      </c>
      <c r="V1" s="2">
        <v>19</v>
      </c>
      <c r="W1" s="2">
        <v>20</v>
      </c>
      <c r="X1" s="2">
        <v>21</v>
      </c>
      <c r="Y1" s="2">
        <v>22</v>
      </c>
      <c r="Z1" s="2">
        <v>23</v>
      </c>
      <c r="AA1" s="2">
        <v>24</v>
      </c>
      <c r="AB1" s="2">
        <v>25</v>
      </c>
      <c r="AC1" s="2">
        <v>26</v>
      </c>
    </row>
    <row r="2" spans="1:54" ht="13.9" customHeight="1">
      <c r="R2" s="5"/>
    </row>
    <row r="3" spans="1:54" ht="25.15" customHeight="1">
      <c r="A3" s="267" t="s">
        <v>15</v>
      </c>
      <c r="B3" s="267"/>
      <c r="C3" s="267"/>
      <c r="D3" s="267"/>
      <c r="E3" s="267"/>
      <c r="F3" s="267"/>
      <c r="G3" s="267"/>
      <c r="H3" s="267"/>
      <c r="I3" s="267"/>
      <c r="J3" s="267"/>
      <c r="K3" s="267"/>
      <c r="L3" s="267"/>
      <c r="M3" s="267"/>
      <c r="N3" s="267"/>
      <c r="O3" s="267"/>
      <c r="P3" s="267"/>
      <c r="Q3" s="267"/>
      <c r="R3" s="6"/>
      <c r="S3" s="268" t="s">
        <v>17</v>
      </c>
      <c r="T3" s="269"/>
      <c r="U3" s="271" t="s">
        <v>121</v>
      </c>
      <c r="V3" s="272"/>
      <c r="W3" s="272"/>
      <c r="X3" s="273"/>
      <c r="Y3" s="274" t="s">
        <v>129</v>
      </c>
      <c r="Z3" s="275"/>
      <c r="AA3" s="276" t="s">
        <v>130</v>
      </c>
      <c r="AB3" s="277"/>
      <c r="AC3" s="270" t="s">
        <v>14</v>
      </c>
      <c r="AE3" s="264" t="s">
        <v>240</v>
      </c>
      <c r="AF3" s="264"/>
      <c r="AG3" s="264"/>
      <c r="AH3" s="264"/>
      <c r="AI3" s="264"/>
      <c r="AJ3" s="264"/>
      <c r="AK3" s="265" t="s">
        <v>241</v>
      </c>
      <c r="AL3" s="265"/>
      <c r="AM3" s="265"/>
      <c r="AN3" s="265"/>
      <c r="AO3" s="265"/>
      <c r="AP3" s="265"/>
      <c r="AQ3" s="266" t="s">
        <v>242</v>
      </c>
      <c r="AR3" s="266"/>
      <c r="AS3" s="266"/>
      <c r="AT3" s="266"/>
      <c r="AU3" s="266"/>
      <c r="AV3" s="266"/>
      <c r="AW3" s="263" t="s">
        <v>243</v>
      </c>
      <c r="AX3" s="263"/>
      <c r="AY3" s="263"/>
      <c r="AZ3" s="263"/>
      <c r="BA3" s="263"/>
      <c r="BB3" s="263"/>
    </row>
    <row r="4" spans="1:54" s="7" customFormat="1" ht="71.25">
      <c r="A4" s="8" t="s">
        <v>9</v>
      </c>
      <c r="B4" s="8" t="s">
        <v>0</v>
      </c>
      <c r="C4" s="9" t="s">
        <v>1</v>
      </c>
      <c r="D4" s="8" t="s">
        <v>2</v>
      </c>
      <c r="E4" s="8" t="s">
        <v>21</v>
      </c>
      <c r="F4" s="8" t="s">
        <v>22</v>
      </c>
      <c r="G4" s="8" t="s">
        <v>23</v>
      </c>
      <c r="H4" s="8" t="s">
        <v>24</v>
      </c>
      <c r="I4" s="8" t="s">
        <v>25</v>
      </c>
      <c r="J4" s="8" t="s">
        <v>26</v>
      </c>
      <c r="K4" s="8" t="s">
        <v>27</v>
      </c>
      <c r="L4" s="10" t="s">
        <v>100</v>
      </c>
      <c r="M4" s="10" t="s">
        <v>101</v>
      </c>
      <c r="N4" s="8" t="s">
        <v>3</v>
      </c>
      <c r="O4" s="8" t="s">
        <v>4</v>
      </c>
      <c r="P4" s="8" t="s">
        <v>111</v>
      </c>
      <c r="Q4" s="8" t="s">
        <v>112</v>
      </c>
      <c r="R4" s="10" t="s">
        <v>123</v>
      </c>
      <c r="S4" s="78" t="s">
        <v>12</v>
      </c>
      <c r="T4" s="78" t="s">
        <v>13</v>
      </c>
      <c r="U4" s="149" t="s">
        <v>120</v>
      </c>
      <c r="V4" s="77" t="s">
        <v>128</v>
      </c>
      <c r="W4" s="77" t="s">
        <v>122</v>
      </c>
      <c r="X4" s="77" t="s">
        <v>247</v>
      </c>
      <c r="Y4" s="76" t="s">
        <v>116</v>
      </c>
      <c r="Z4" s="76" t="s">
        <v>117</v>
      </c>
      <c r="AA4" s="75" t="s">
        <v>116</v>
      </c>
      <c r="AB4" s="75" t="s">
        <v>118</v>
      </c>
      <c r="AC4" s="270"/>
      <c r="AE4" s="122" t="s">
        <v>234</v>
      </c>
      <c r="AF4" s="122" t="s">
        <v>235</v>
      </c>
      <c r="AG4" s="122" t="s">
        <v>237</v>
      </c>
      <c r="AH4" s="122" t="s">
        <v>239</v>
      </c>
      <c r="AI4" s="122" t="s">
        <v>236</v>
      </c>
      <c r="AJ4" s="122" t="s">
        <v>238</v>
      </c>
      <c r="AK4" s="123" t="s">
        <v>234</v>
      </c>
      <c r="AL4" s="123" t="s">
        <v>235</v>
      </c>
      <c r="AM4" s="123" t="s">
        <v>237</v>
      </c>
      <c r="AN4" s="123" t="s">
        <v>239</v>
      </c>
      <c r="AO4" s="123" t="s">
        <v>236</v>
      </c>
      <c r="AP4" s="123" t="s">
        <v>238</v>
      </c>
      <c r="AQ4" s="124" t="s">
        <v>234</v>
      </c>
      <c r="AR4" s="124" t="s">
        <v>235</v>
      </c>
      <c r="AS4" s="124" t="s">
        <v>237</v>
      </c>
      <c r="AT4" s="124" t="s">
        <v>239</v>
      </c>
      <c r="AU4" s="124" t="s">
        <v>236</v>
      </c>
      <c r="AV4" s="124" t="s">
        <v>238</v>
      </c>
      <c r="AW4" s="125" t="s">
        <v>234</v>
      </c>
      <c r="AX4" s="125" t="s">
        <v>235</v>
      </c>
      <c r="AY4" s="125" t="s">
        <v>237</v>
      </c>
      <c r="AZ4" s="125" t="s">
        <v>239</v>
      </c>
      <c r="BA4" s="125" t="s">
        <v>236</v>
      </c>
      <c r="BB4" s="125" t="s">
        <v>238</v>
      </c>
    </row>
    <row r="5" spans="1:54" ht="22.9" customHeight="1">
      <c r="A5" s="11"/>
      <c r="B5" s="11"/>
      <c r="C5" s="12"/>
      <c r="D5" s="11"/>
      <c r="E5" s="11"/>
      <c r="F5" s="11"/>
      <c r="G5" s="11"/>
      <c r="H5" s="11"/>
      <c r="I5" s="16"/>
      <c r="J5" s="17"/>
      <c r="K5" s="17"/>
      <c r="L5" s="13">
        <f>SUBTOTAL(9,L6:L41)</f>
        <v>37388.150000000009</v>
      </c>
      <c r="M5" s="13">
        <f>SUBTOTAL(9,M6:M41)</f>
        <v>37388.150000000009</v>
      </c>
      <c r="N5" s="14"/>
      <c r="O5" s="11"/>
      <c r="P5" s="11"/>
      <c r="Q5" s="11"/>
      <c r="R5" s="15"/>
      <c r="S5" s="79">
        <f>T5/L5</f>
        <v>12577570.890662752</v>
      </c>
      <c r="T5" s="79">
        <f t="shared" ref="T5:AB5" si="0">SUBTOTAL(9,T6:T41)</f>
        <v>470252107095.73267</v>
      </c>
      <c r="U5" s="150"/>
      <c r="V5" s="80"/>
      <c r="W5" s="80">
        <f t="shared" si="0"/>
        <v>118231400000</v>
      </c>
      <c r="X5" s="80">
        <f t="shared" si="0"/>
        <v>130054540000</v>
      </c>
      <c r="Y5" s="81">
        <f>SUBTOTAL(1,Y6:Y41)</f>
        <v>11387240.107867809</v>
      </c>
      <c r="Z5" s="81">
        <f t="shared" si="0"/>
        <v>392586517178.13257</v>
      </c>
      <c r="AA5" s="82">
        <f>SUBTOTAL(1,AA6:AA41)</f>
        <v>11735176.822040705</v>
      </c>
      <c r="AB5" s="82">
        <f t="shared" si="0"/>
        <v>404409657178.13257</v>
      </c>
      <c r="AC5" s="74"/>
      <c r="AE5" s="126"/>
      <c r="AF5" s="126"/>
      <c r="AG5" s="126"/>
      <c r="AH5" s="126"/>
      <c r="AI5" s="126"/>
      <c r="AJ5" s="126"/>
      <c r="AK5" s="127"/>
      <c r="AL5" s="127"/>
      <c r="AM5" s="127"/>
      <c r="AN5" s="127"/>
      <c r="AO5" s="127"/>
      <c r="AP5" s="127"/>
      <c r="AQ5" s="128"/>
      <c r="AR5" s="128"/>
      <c r="AS5" s="128"/>
      <c r="AT5" s="128"/>
      <c r="AU5" s="128"/>
      <c r="AV5" s="128"/>
      <c r="AW5" s="129"/>
      <c r="AX5" s="129"/>
      <c r="AY5" s="129"/>
      <c r="AZ5" s="129"/>
      <c r="BA5" s="129"/>
      <c r="BB5" s="129"/>
    </row>
    <row r="6" spans="1:54" ht="15.75" customHeight="1">
      <c r="A6" s="130">
        <v>1</v>
      </c>
      <c r="B6" s="131" t="s">
        <v>19</v>
      </c>
      <c r="C6" s="132">
        <v>4</v>
      </c>
      <c r="D6" s="133" t="str">
        <f>B6&amp;"."&amp;C6</f>
        <v>A.4</v>
      </c>
      <c r="E6" s="134" t="s">
        <v>28</v>
      </c>
      <c r="F6" s="134">
        <v>702</v>
      </c>
      <c r="G6" s="134">
        <v>9</v>
      </c>
      <c r="H6" s="134" t="s">
        <v>29</v>
      </c>
      <c r="I6" s="135">
        <v>43705</v>
      </c>
      <c r="J6" s="136">
        <v>1170</v>
      </c>
      <c r="K6" s="136">
        <f>J6-L6</f>
        <v>80.380000000000109</v>
      </c>
      <c r="L6" s="137">
        <v>1089.6199999999999</v>
      </c>
      <c r="M6" s="138">
        <f t="shared" ref="M6:M41" si="1">L6</f>
        <v>1089.6199999999999</v>
      </c>
      <c r="N6" s="139" t="s">
        <v>108</v>
      </c>
      <c r="O6" s="134" t="s">
        <v>127</v>
      </c>
      <c r="P6" s="134" t="s">
        <v>109</v>
      </c>
      <c r="Q6" s="140" t="s">
        <v>5</v>
      </c>
      <c r="R6" s="138" t="s">
        <v>124</v>
      </c>
      <c r="S6" s="141">
        <v>12714860</v>
      </c>
      <c r="T6" s="141">
        <f>S6*M6</f>
        <v>13854365753.199999</v>
      </c>
      <c r="U6" s="151">
        <f>IF(R6="Biệt phủ",491,IF(R6="Điền An",850,IF(R6="Điền sản",0,0)))</f>
        <v>491</v>
      </c>
      <c r="V6" s="141">
        <f>IF(R6="Biệt phủ",10300000,IF(R6="Điền An",8000000,IF(R6="Điền sản",0,0)))</f>
        <v>10300000</v>
      </c>
      <c r="W6" s="141">
        <f>V6*U6</f>
        <v>5057300000</v>
      </c>
      <c r="X6" s="141">
        <f>W6*1.1</f>
        <v>5563030000</v>
      </c>
      <c r="Y6" s="141">
        <f>IF(OR(R6="Điền sản",R6=""),0,Z6/M6)</f>
        <v>17356202.853471853</v>
      </c>
      <c r="Z6" s="141">
        <f t="shared" ref="Z6:Z41" si="2">IF(OR(R6="Điền sản",R6=""),0,W6+T6)</f>
        <v>18911665753.199997</v>
      </c>
      <c r="AA6" s="141">
        <f>IF(OR(R6="Điền sản",R6=""),0,AB6/M6)</f>
        <v>17820337.138819035</v>
      </c>
      <c r="AB6" s="141">
        <f t="shared" ref="AB6:AB41" si="3">IF(OR(R6="Điền sản",R6=""),0,X6+T6)</f>
        <v>19417395753.199997</v>
      </c>
      <c r="AC6" s="142" t="s">
        <v>18</v>
      </c>
      <c r="AE6" s="145">
        <f t="shared" ref="AE6:AE41" si="4">AF6/M6</f>
        <v>11797108.857399827</v>
      </c>
      <c r="AF6" s="146">
        <f>T6-800000000-200000000</f>
        <v>12854365753.199999</v>
      </c>
      <c r="AG6" s="145">
        <f t="shared" ref="AG6:AG41" si="5">IF(OR(R6="Điền sản",R6=""),0,AH6/M6)</f>
        <v>16438451.71087168</v>
      </c>
      <c r="AH6" s="146">
        <f t="shared" ref="AH6:AH41" si="6">IF(OR(R6="Điền sản",R6=""),0,AF6+W6)</f>
        <v>17911665753.199997</v>
      </c>
      <c r="AI6" s="145">
        <f t="shared" ref="AI6:AI41" si="7">IF(OR(R6="Điền sản",R6=""),0,AJ6/M6)</f>
        <v>16902585.996218864</v>
      </c>
      <c r="AJ6" s="146">
        <f t="shared" ref="AJ6:AJ41" si="8">IF(OR(R6="Điền sản",R6=""),0,AF6+X6)</f>
        <v>18417395753.199997</v>
      </c>
      <c r="AK6" s="145">
        <f t="shared" ref="AK6:AK41" si="9">AL6/M6</f>
        <v>11430008.400359759</v>
      </c>
      <c r="AL6" s="146">
        <f t="shared" ref="AL6:AL41" si="10">T6-800000000-600000000</f>
        <v>12454365753.199999</v>
      </c>
      <c r="AM6" s="145">
        <f t="shared" ref="AM6:AM41" si="11">IF(OR(R6="Điền sản",R6=""),0,AN6/M6)</f>
        <v>16071351.25383161</v>
      </c>
      <c r="AN6" s="146">
        <f t="shared" ref="AN6:AN41" si="12">IF(OR(R6="Điền sản",R6=""),0,AL6+W6)</f>
        <v>17511665753.199997</v>
      </c>
      <c r="AO6" s="145">
        <f t="shared" ref="AO6:AO41" si="13">IF(OR(R6="Điền sản",R6=""),0,AP6/M6)</f>
        <v>16535485.539178794</v>
      </c>
      <c r="AP6" s="146">
        <f t="shared" ref="AP6:AP41" si="14">IF(OR(R6="Điền sản",R6=""),0,AL6+X6)</f>
        <v>18017395753.199997</v>
      </c>
      <c r="AQ6" s="145">
        <f t="shared" ref="AQ6:AQ41" si="15">AR6/M6</f>
        <v>11246458.171839723</v>
      </c>
      <c r="AR6" s="146">
        <f t="shared" ref="AR6:AR41" si="16">T6-800000000-800000000</f>
        <v>12254365753.199999</v>
      </c>
      <c r="AS6" s="145">
        <f t="shared" ref="AS6:AS41" si="17">IF(OR(R6="Điền sản",R6=""),0,AT6/M6)</f>
        <v>15887801.025311576</v>
      </c>
      <c r="AT6" s="146">
        <f t="shared" ref="AT6:AT41" si="18">IF(OR(R6="Điền sản",R6=""),0,AR6+W6)</f>
        <v>17311665753.199997</v>
      </c>
      <c r="AU6" s="145">
        <f t="shared" ref="AU6:AU41" si="19">IF(OR(R6="Điền sản",R6=""),0,AV6/M6)</f>
        <v>16351935.31065876</v>
      </c>
      <c r="AV6" s="146">
        <f t="shared" ref="AV6:AV41" si="20">IF(OR(R6="Điền sản",R6=""),0,AR6+X6)</f>
        <v>17817395753.199997</v>
      </c>
      <c r="AW6" s="145">
        <f t="shared" ref="AW6:AW41" si="21">AX6/M6</f>
        <v>11062907.943319689</v>
      </c>
      <c r="AX6" s="146">
        <f>T6-800000000-1000000000</f>
        <v>12054365753.199999</v>
      </c>
      <c r="AY6" s="145">
        <f t="shared" ref="AY6:AY41" si="22">IF(OR(R6="Điền sản",R6=""),0,AZ6/M6)</f>
        <v>15704250.796791542</v>
      </c>
      <c r="AZ6" s="146">
        <f t="shared" ref="AZ6:AZ41" si="23">IF(OR(R6="Điền sản",R6=""),0,AX6+W6)</f>
        <v>17111665753.199999</v>
      </c>
      <c r="BA6" s="145">
        <f t="shared" ref="BA6:BA41" si="24">IF(OR(R6="Điền sản",R6=""),0,BB6/M6)</f>
        <v>16168385.082138726</v>
      </c>
      <c r="BB6" s="146">
        <f t="shared" ref="BB6:BB41" si="25">IF(OR(R6="Điền sản",R6=""),0,AX6+X6)</f>
        <v>17617395753.199997</v>
      </c>
    </row>
    <row r="7" spans="1:54" ht="15.75" customHeight="1">
      <c r="A7" s="130">
        <f>A6+1</f>
        <v>2</v>
      </c>
      <c r="B7" s="131" t="s">
        <v>19</v>
      </c>
      <c r="C7" s="132">
        <v>6</v>
      </c>
      <c r="D7" s="133" t="str">
        <f t="shared" ref="D7:D41" si="26">B7&amp;"."&amp;C7</f>
        <v>A.6</v>
      </c>
      <c r="E7" s="134" t="s">
        <v>30</v>
      </c>
      <c r="F7" s="134">
        <v>707</v>
      </c>
      <c r="G7" s="134">
        <v>9</v>
      </c>
      <c r="H7" s="134" t="s">
        <v>31</v>
      </c>
      <c r="I7" s="135">
        <v>43705</v>
      </c>
      <c r="J7" s="136">
        <v>1541.8</v>
      </c>
      <c r="K7" s="136">
        <f t="shared" ref="K7:K41" si="27">J7-L7</f>
        <v>247.86999999999989</v>
      </c>
      <c r="L7" s="137">
        <v>1293.93</v>
      </c>
      <c r="M7" s="138">
        <f t="shared" si="1"/>
        <v>1293.93</v>
      </c>
      <c r="N7" s="139" t="s">
        <v>105</v>
      </c>
      <c r="O7" s="134" t="s">
        <v>119</v>
      </c>
      <c r="P7" s="134" t="s">
        <v>109</v>
      </c>
      <c r="Q7" s="140" t="s">
        <v>6</v>
      </c>
      <c r="R7" s="138" t="s">
        <v>124</v>
      </c>
      <c r="S7" s="141">
        <v>12654600</v>
      </c>
      <c r="T7" s="141">
        <f t="shared" ref="T7:T41" si="28">S7*M7</f>
        <v>16374166578</v>
      </c>
      <c r="U7" s="151">
        <f t="shared" ref="U7:U41" si="29">IF(R7="Biệt phủ",491,IF(R7="Điền An",850,IF(R7="Điền sản",0,0)))</f>
        <v>491</v>
      </c>
      <c r="V7" s="141">
        <f t="shared" ref="V7:V41" si="30">IF(R7="Biệt phủ",10300000,IF(R7="Điền An",8000000,IF(R7="Điền sản",0,0)))</f>
        <v>10300000</v>
      </c>
      <c r="W7" s="141">
        <f>V7*U7</f>
        <v>5057300000</v>
      </c>
      <c r="X7" s="141">
        <f t="shared" ref="X7:X41" si="31">W7*1.1</f>
        <v>5563030000</v>
      </c>
      <c r="Y7" s="141">
        <f>IF(OR(R7="Điền sản",R7=""),0,Z7/M7)</f>
        <v>16563080.366016708</v>
      </c>
      <c r="Z7" s="141">
        <f t="shared" si="2"/>
        <v>21431466578</v>
      </c>
      <c r="AA7" s="141">
        <f t="shared" ref="AA7:AA41" si="32">IF(OR(R7="Điền sản",R7=""),0,AB7/M7)</f>
        <v>16953928.402618378</v>
      </c>
      <c r="AB7" s="141">
        <f t="shared" si="3"/>
        <v>21937196578</v>
      </c>
      <c r="AC7" s="142" t="s">
        <v>18</v>
      </c>
      <c r="AE7" s="145">
        <f t="shared" si="4"/>
        <v>11881760.665569235</v>
      </c>
      <c r="AF7" s="146">
        <f t="shared" ref="AF7:AF41" si="33">T7-800000000-200000000</f>
        <v>15374166578</v>
      </c>
      <c r="AG7" s="145">
        <f t="shared" si="5"/>
        <v>15790241.031585943</v>
      </c>
      <c r="AH7" s="146">
        <f t="shared" si="6"/>
        <v>20431466578</v>
      </c>
      <c r="AI7" s="145">
        <f t="shared" si="7"/>
        <v>16181089.068187613</v>
      </c>
      <c r="AJ7" s="146">
        <f t="shared" si="8"/>
        <v>20937196578</v>
      </c>
      <c r="AK7" s="145">
        <f t="shared" si="9"/>
        <v>11572624.931796929</v>
      </c>
      <c r="AL7" s="146">
        <f t="shared" si="10"/>
        <v>14974166578</v>
      </c>
      <c r="AM7" s="145">
        <f t="shared" si="11"/>
        <v>15481105.297813637</v>
      </c>
      <c r="AN7" s="146">
        <f t="shared" si="12"/>
        <v>20031466578</v>
      </c>
      <c r="AO7" s="145">
        <f t="shared" si="13"/>
        <v>15871953.334415307</v>
      </c>
      <c r="AP7" s="146">
        <f t="shared" si="14"/>
        <v>20537196578</v>
      </c>
      <c r="AQ7" s="145">
        <f t="shared" si="15"/>
        <v>11418057.064910775</v>
      </c>
      <c r="AR7" s="146">
        <f t="shared" si="16"/>
        <v>14774166578</v>
      </c>
      <c r="AS7" s="145">
        <f t="shared" si="17"/>
        <v>15326537.430927483</v>
      </c>
      <c r="AT7" s="146">
        <f t="shared" si="18"/>
        <v>19831466578</v>
      </c>
      <c r="AU7" s="145">
        <f t="shared" si="19"/>
        <v>15717385.467529155</v>
      </c>
      <c r="AV7" s="146">
        <f t="shared" si="20"/>
        <v>20337196578</v>
      </c>
      <c r="AW7" s="145">
        <f t="shared" si="21"/>
        <v>11263489.198024621</v>
      </c>
      <c r="AX7" s="146">
        <f t="shared" ref="AX7:AX41" si="34">T7-800000000-1000000000</f>
        <v>14574166578</v>
      </c>
      <c r="AY7" s="145">
        <f t="shared" si="22"/>
        <v>15171969.564041331</v>
      </c>
      <c r="AZ7" s="146">
        <f t="shared" si="23"/>
        <v>19631466578</v>
      </c>
      <c r="BA7" s="145">
        <f t="shared" si="24"/>
        <v>15562817.600643001</v>
      </c>
      <c r="BB7" s="146">
        <f t="shared" si="25"/>
        <v>20137196578</v>
      </c>
    </row>
    <row r="8" spans="1:54" ht="15.75" customHeight="1">
      <c r="A8" s="130">
        <f t="shared" ref="A8:A41" si="35">A7+1</f>
        <v>3</v>
      </c>
      <c r="B8" s="131" t="s">
        <v>19</v>
      </c>
      <c r="C8" s="132">
        <v>8</v>
      </c>
      <c r="D8" s="133" t="str">
        <f t="shared" si="26"/>
        <v>A.8</v>
      </c>
      <c r="E8" s="134" t="s">
        <v>32</v>
      </c>
      <c r="F8" s="134">
        <v>701</v>
      </c>
      <c r="G8" s="134">
        <v>9</v>
      </c>
      <c r="H8" s="134" t="s">
        <v>33</v>
      </c>
      <c r="I8" s="135">
        <v>43705</v>
      </c>
      <c r="J8" s="136">
        <v>1348.1</v>
      </c>
      <c r="K8" s="136">
        <f t="shared" si="27"/>
        <v>49.169999999999845</v>
      </c>
      <c r="L8" s="137">
        <v>1298.93</v>
      </c>
      <c r="M8" s="138">
        <f t="shared" si="1"/>
        <v>1298.93</v>
      </c>
      <c r="N8" s="139" t="s">
        <v>104</v>
      </c>
      <c r="O8" s="134" t="s">
        <v>119</v>
      </c>
      <c r="P8" s="134" t="s">
        <v>110</v>
      </c>
      <c r="Q8" s="140" t="s">
        <v>6</v>
      </c>
      <c r="R8" s="138" t="s">
        <v>126</v>
      </c>
      <c r="S8" s="141">
        <v>12052000</v>
      </c>
      <c r="T8" s="141">
        <f t="shared" si="28"/>
        <v>15654704360</v>
      </c>
      <c r="U8" s="151">
        <f t="shared" si="29"/>
        <v>0</v>
      </c>
      <c r="V8" s="141">
        <f t="shared" si="30"/>
        <v>0</v>
      </c>
      <c r="W8" s="141">
        <f t="shared" ref="W8:W41" si="36">V8*U8</f>
        <v>0</v>
      </c>
      <c r="X8" s="141">
        <f t="shared" si="31"/>
        <v>0</v>
      </c>
      <c r="Y8" s="141">
        <f t="shared" ref="Y8:Y20" si="37">IF(OR(R8="Điền sản",R8=""),0,Z8/M8)</f>
        <v>0</v>
      </c>
      <c r="Z8" s="141">
        <f t="shared" si="2"/>
        <v>0</v>
      </c>
      <c r="AA8" s="141">
        <f t="shared" si="32"/>
        <v>0</v>
      </c>
      <c r="AB8" s="141">
        <f t="shared" si="3"/>
        <v>0</v>
      </c>
      <c r="AC8" s="142" t="s">
        <v>18</v>
      </c>
      <c r="AE8" s="145">
        <f t="shared" si="4"/>
        <v>11282135.573125573</v>
      </c>
      <c r="AF8" s="146">
        <f t="shared" si="33"/>
        <v>14654704360</v>
      </c>
      <c r="AG8" s="145">
        <f t="shared" si="5"/>
        <v>0</v>
      </c>
      <c r="AH8" s="146">
        <f t="shared" si="6"/>
        <v>0</v>
      </c>
      <c r="AI8" s="145">
        <f t="shared" si="7"/>
        <v>0</v>
      </c>
      <c r="AJ8" s="146">
        <f t="shared" si="8"/>
        <v>0</v>
      </c>
      <c r="AK8" s="145">
        <f t="shared" si="9"/>
        <v>10974189.802375801</v>
      </c>
      <c r="AL8" s="146">
        <f t="shared" si="10"/>
        <v>14254704360</v>
      </c>
      <c r="AM8" s="145">
        <f t="shared" si="11"/>
        <v>0</v>
      </c>
      <c r="AN8" s="146">
        <f t="shared" si="12"/>
        <v>0</v>
      </c>
      <c r="AO8" s="145">
        <f t="shared" si="13"/>
        <v>0</v>
      </c>
      <c r="AP8" s="146">
        <f t="shared" si="14"/>
        <v>0</v>
      </c>
      <c r="AQ8" s="145">
        <f t="shared" si="15"/>
        <v>10820216.917000916</v>
      </c>
      <c r="AR8" s="146">
        <f t="shared" si="16"/>
        <v>14054704360</v>
      </c>
      <c r="AS8" s="145">
        <f t="shared" si="17"/>
        <v>0</v>
      </c>
      <c r="AT8" s="146">
        <f t="shared" si="18"/>
        <v>0</v>
      </c>
      <c r="AU8" s="145">
        <f t="shared" si="19"/>
        <v>0</v>
      </c>
      <c r="AV8" s="146">
        <f t="shared" si="20"/>
        <v>0</v>
      </c>
      <c r="AW8" s="145">
        <f t="shared" si="21"/>
        <v>10666244.031626031</v>
      </c>
      <c r="AX8" s="146">
        <f t="shared" si="34"/>
        <v>13854704360</v>
      </c>
      <c r="AY8" s="145">
        <f t="shared" si="22"/>
        <v>0</v>
      </c>
      <c r="AZ8" s="146">
        <f t="shared" si="23"/>
        <v>0</v>
      </c>
      <c r="BA8" s="145">
        <f t="shared" si="24"/>
        <v>0</v>
      </c>
      <c r="BB8" s="146">
        <f t="shared" si="25"/>
        <v>0</v>
      </c>
    </row>
    <row r="9" spans="1:54" ht="15.75" customHeight="1">
      <c r="A9" s="130">
        <f t="shared" si="35"/>
        <v>4</v>
      </c>
      <c r="B9" s="131" t="s">
        <v>19</v>
      </c>
      <c r="C9" s="132">
        <v>9</v>
      </c>
      <c r="D9" s="133" t="str">
        <f t="shared" si="26"/>
        <v>A.9</v>
      </c>
      <c r="E9" s="134" t="s">
        <v>34</v>
      </c>
      <c r="F9" s="134">
        <v>700</v>
      </c>
      <c r="G9" s="134">
        <v>9</v>
      </c>
      <c r="H9" s="134" t="s">
        <v>35</v>
      </c>
      <c r="I9" s="135">
        <v>43705</v>
      </c>
      <c r="J9" s="136">
        <v>1334</v>
      </c>
      <c r="K9" s="136">
        <f t="shared" si="27"/>
        <v>49.1099999999999</v>
      </c>
      <c r="L9" s="137">
        <v>1284.8900000000001</v>
      </c>
      <c r="M9" s="138">
        <f t="shared" si="1"/>
        <v>1284.8900000000001</v>
      </c>
      <c r="N9" s="139" t="s">
        <v>104</v>
      </c>
      <c r="O9" s="134" t="s">
        <v>119</v>
      </c>
      <c r="P9" s="134" t="s">
        <v>110</v>
      </c>
      <c r="Q9" s="140" t="s">
        <v>6</v>
      </c>
      <c r="R9" s="138" t="s">
        <v>126</v>
      </c>
      <c r="S9" s="141">
        <v>12051999.999999998</v>
      </c>
      <c r="T9" s="141">
        <f t="shared" si="28"/>
        <v>15485494279.999998</v>
      </c>
      <c r="U9" s="151">
        <f t="shared" si="29"/>
        <v>0</v>
      </c>
      <c r="V9" s="141">
        <f t="shared" si="30"/>
        <v>0</v>
      </c>
      <c r="W9" s="141">
        <f t="shared" si="36"/>
        <v>0</v>
      </c>
      <c r="X9" s="141">
        <f t="shared" si="31"/>
        <v>0</v>
      </c>
      <c r="Y9" s="141">
        <f t="shared" si="37"/>
        <v>0</v>
      </c>
      <c r="Z9" s="141">
        <f t="shared" si="2"/>
        <v>0</v>
      </c>
      <c r="AA9" s="141">
        <f t="shared" si="32"/>
        <v>0</v>
      </c>
      <c r="AB9" s="141">
        <f t="shared" si="3"/>
        <v>0</v>
      </c>
      <c r="AC9" s="142" t="s">
        <v>18</v>
      </c>
      <c r="AE9" s="145">
        <f t="shared" si="4"/>
        <v>11273723.260356916</v>
      </c>
      <c r="AF9" s="146">
        <f t="shared" si="33"/>
        <v>14485494279.999998</v>
      </c>
      <c r="AG9" s="145">
        <f t="shared" si="5"/>
        <v>0</v>
      </c>
      <c r="AH9" s="146">
        <f t="shared" si="6"/>
        <v>0</v>
      </c>
      <c r="AI9" s="145">
        <f t="shared" si="7"/>
        <v>0</v>
      </c>
      <c r="AJ9" s="146">
        <f t="shared" si="8"/>
        <v>0</v>
      </c>
      <c r="AK9" s="145">
        <f t="shared" si="9"/>
        <v>10962412.564499682</v>
      </c>
      <c r="AL9" s="146">
        <f t="shared" si="10"/>
        <v>14085494279.999998</v>
      </c>
      <c r="AM9" s="145">
        <f t="shared" si="11"/>
        <v>0</v>
      </c>
      <c r="AN9" s="146">
        <f t="shared" si="12"/>
        <v>0</v>
      </c>
      <c r="AO9" s="145">
        <f t="shared" si="13"/>
        <v>0</v>
      </c>
      <c r="AP9" s="146">
        <f t="shared" si="14"/>
        <v>0</v>
      </c>
      <c r="AQ9" s="145">
        <f t="shared" si="15"/>
        <v>10806757.216571067</v>
      </c>
      <c r="AR9" s="146">
        <f t="shared" si="16"/>
        <v>13885494279.999998</v>
      </c>
      <c r="AS9" s="145">
        <f t="shared" si="17"/>
        <v>0</v>
      </c>
      <c r="AT9" s="146">
        <f t="shared" si="18"/>
        <v>0</v>
      </c>
      <c r="AU9" s="145">
        <f t="shared" si="19"/>
        <v>0</v>
      </c>
      <c r="AV9" s="146">
        <f t="shared" si="20"/>
        <v>0</v>
      </c>
      <c r="AW9" s="145">
        <f t="shared" si="21"/>
        <v>10651101.868642449</v>
      </c>
      <c r="AX9" s="146">
        <f t="shared" si="34"/>
        <v>13685494279.999998</v>
      </c>
      <c r="AY9" s="145">
        <f t="shared" si="22"/>
        <v>0</v>
      </c>
      <c r="AZ9" s="146">
        <f t="shared" si="23"/>
        <v>0</v>
      </c>
      <c r="BA9" s="145">
        <f t="shared" si="24"/>
        <v>0</v>
      </c>
      <c r="BB9" s="146">
        <f t="shared" si="25"/>
        <v>0</v>
      </c>
    </row>
    <row r="10" spans="1:54" ht="15.75" customHeight="1">
      <c r="A10" s="130">
        <f t="shared" si="35"/>
        <v>5</v>
      </c>
      <c r="B10" s="131" t="s">
        <v>19</v>
      </c>
      <c r="C10" s="132">
        <v>11</v>
      </c>
      <c r="D10" s="133" t="str">
        <f t="shared" si="26"/>
        <v>A.11</v>
      </c>
      <c r="E10" s="134" t="s">
        <v>36</v>
      </c>
      <c r="F10" s="134">
        <v>698</v>
      </c>
      <c r="G10" s="134">
        <v>9</v>
      </c>
      <c r="H10" s="134" t="s">
        <v>37</v>
      </c>
      <c r="I10" s="135">
        <v>43705</v>
      </c>
      <c r="J10" s="136">
        <v>1304.5999999999999</v>
      </c>
      <c r="K10" s="136">
        <f t="shared" si="27"/>
        <v>49.199999999999818</v>
      </c>
      <c r="L10" s="137">
        <v>1255.4000000000001</v>
      </c>
      <c r="M10" s="138">
        <f t="shared" si="1"/>
        <v>1255.4000000000001</v>
      </c>
      <c r="N10" s="139" t="s">
        <v>104</v>
      </c>
      <c r="O10" s="134" t="s">
        <v>119</v>
      </c>
      <c r="P10" s="134" t="s">
        <v>110</v>
      </c>
      <c r="Q10" s="140" t="s">
        <v>6</v>
      </c>
      <c r="R10" s="138" t="s">
        <v>126</v>
      </c>
      <c r="S10" s="141">
        <v>12052000</v>
      </c>
      <c r="T10" s="141">
        <f t="shared" si="28"/>
        <v>15130080800.000002</v>
      </c>
      <c r="U10" s="151">
        <f t="shared" si="29"/>
        <v>0</v>
      </c>
      <c r="V10" s="141">
        <f t="shared" si="30"/>
        <v>0</v>
      </c>
      <c r="W10" s="141">
        <f t="shared" si="36"/>
        <v>0</v>
      </c>
      <c r="X10" s="141">
        <f t="shared" si="31"/>
        <v>0</v>
      </c>
      <c r="Y10" s="141">
        <f t="shared" si="37"/>
        <v>0</v>
      </c>
      <c r="Z10" s="141">
        <f t="shared" si="2"/>
        <v>0</v>
      </c>
      <c r="AA10" s="141">
        <f t="shared" si="32"/>
        <v>0</v>
      </c>
      <c r="AB10" s="141">
        <f t="shared" si="3"/>
        <v>0</v>
      </c>
      <c r="AC10" s="142" t="s">
        <v>18</v>
      </c>
      <c r="AE10" s="145">
        <f t="shared" si="4"/>
        <v>11255441.134299826</v>
      </c>
      <c r="AF10" s="146">
        <f t="shared" si="33"/>
        <v>14130080800.000002</v>
      </c>
      <c r="AG10" s="145">
        <f t="shared" si="5"/>
        <v>0</v>
      </c>
      <c r="AH10" s="146">
        <f t="shared" si="6"/>
        <v>0</v>
      </c>
      <c r="AI10" s="145">
        <f t="shared" si="7"/>
        <v>0</v>
      </c>
      <c r="AJ10" s="146">
        <f t="shared" si="8"/>
        <v>0</v>
      </c>
      <c r="AK10" s="145">
        <f t="shared" si="9"/>
        <v>10936817.588019755</v>
      </c>
      <c r="AL10" s="146">
        <f t="shared" si="10"/>
        <v>13730080800.000002</v>
      </c>
      <c r="AM10" s="145">
        <f t="shared" si="11"/>
        <v>0</v>
      </c>
      <c r="AN10" s="146">
        <f t="shared" si="12"/>
        <v>0</v>
      </c>
      <c r="AO10" s="145">
        <f t="shared" si="13"/>
        <v>0</v>
      </c>
      <c r="AP10" s="146">
        <f t="shared" si="14"/>
        <v>0</v>
      </c>
      <c r="AQ10" s="145">
        <f t="shared" si="15"/>
        <v>10777505.814879721</v>
      </c>
      <c r="AR10" s="146">
        <f t="shared" si="16"/>
        <v>13530080800.000002</v>
      </c>
      <c r="AS10" s="145">
        <f t="shared" si="17"/>
        <v>0</v>
      </c>
      <c r="AT10" s="146">
        <f t="shared" si="18"/>
        <v>0</v>
      </c>
      <c r="AU10" s="145">
        <f t="shared" si="19"/>
        <v>0</v>
      </c>
      <c r="AV10" s="146">
        <f t="shared" si="20"/>
        <v>0</v>
      </c>
      <c r="AW10" s="145">
        <f t="shared" si="21"/>
        <v>10618194.041739685</v>
      </c>
      <c r="AX10" s="146">
        <f t="shared" si="34"/>
        <v>13330080800.000002</v>
      </c>
      <c r="AY10" s="145">
        <f t="shared" si="22"/>
        <v>0</v>
      </c>
      <c r="AZ10" s="146">
        <f t="shared" si="23"/>
        <v>0</v>
      </c>
      <c r="BA10" s="145">
        <f t="shared" si="24"/>
        <v>0</v>
      </c>
      <c r="BB10" s="146">
        <f t="shared" si="25"/>
        <v>0</v>
      </c>
    </row>
    <row r="11" spans="1:54" ht="15.75" customHeight="1">
      <c r="A11" s="130">
        <f t="shared" si="35"/>
        <v>6</v>
      </c>
      <c r="B11" s="131" t="s">
        <v>19</v>
      </c>
      <c r="C11" s="132">
        <v>12</v>
      </c>
      <c r="D11" s="133" t="str">
        <f t="shared" si="26"/>
        <v>A.12</v>
      </c>
      <c r="E11" s="134" t="s">
        <v>38</v>
      </c>
      <c r="F11" s="134">
        <v>697</v>
      </c>
      <c r="G11" s="134">
        <v>9</v>
      </c>
      <c r="H11" s="134" t="s">
        <v>39</v>
      </c>
      <c r="I11" s="135">
        <v>43705</v>
      </c>
      <c r="J11" s="136">
        <v>1295.0999999999999</v>
      </c>
      <c r="K11" s="136">
        <f t="shared" si="27"/>
        <v>49.079999999999927</v>
      </c>
      <c r="L11" s="137">
        <v>1246.02</v>
      </c>
      <c r="M11" s="138">
        <f t="shared" si="1"/>
        <v>1246.02</v>
      </c>
      <c r="N11" s="139" t="s">
        <v>104</v>
      </c>
      <c r="O11" s="134" t="s">
        <v>119</v>
      </c>
      <c r="P11" s="134" t="s">
        <v>110</v>
      </c>
      <c r="Q11" s="140" t="s">
        <v>6</v>
      </c>
      <c r="R11" s="138" t="s">
        <v>126</v>
      </c>
      <c r="S11" s="141">
        <v>12052000</v>
      </c>
      <c r="T11" s="141">
        <f t="shared" si="28"/>
        <v>15017033040</v>
      </c>
      <c r="U11" s="151">
        <f t="shared" si="29"/>
        <v>0</v>
      </c>
      <c r="V11" s="141">
        <f t="shared" si="30"/>
        <v>0</v>
      </c>
      <c r="W11" s="141">
        <f t="shared" si="36"/>
        <v>0</v>
      </c>
      <c r="X11" s="141">
        <f t="shared" si="31"/>
        <v>0</v>
      </c>
      <c r="Y11" s="141">
        <f t="shared" si="37"/>
        <v>0</v>
      </c>
      <c r="Z11" s="141">
        <f t="shared" si="2"/>
        <v>0</v>
      </c>
      <c r="AA11" s="141">
        <f t="shared" si="32"/>
        <v>0</v>
      </c>
      <c r="AB11" s="141">
        <f t="shared" si="3"/>
        <v>0</v>
      </c>
      <c r="AC11" s="142" t="s">
        <v>18</v>
      </c>
      <c r="AE11" s="145">
        <f t="shared" si="4"/>
        <v>11249444.66380957</v>
      </c>
      <c r="AF11" s="146">
        <f t="shared" si="33"/>
        <v>14017033040</v>
      </c>
      <c r="AG11" s="145">
        <f t="shared" si="5"/>
        <v>0</v>
      </c>
      <c r="AH11" s="146">
        <f t="shared" si="6"/>
        <v>0</v>
      </c>
      <c r="AI11" s="145">
        <f t="shared" si="7"/>
        <v>0</v>
      </c>
      <c r="AJ11" s="146">
        <f t="shared" si="8"/>
        <v>0</v>
      </c>
      <c r="AK11" s="145">
        <f t="shared" si="9"/>
        <v>10928422.529333398</v>
      </c>
      <c r="AL11" s="146">
        <f t="shared" si="10"/>
        <v>13617033040</v>
      </c>
      <c r="AM11" s="145">
        <f t="shared" si="11"/>
        <v>0</v>
      </c>
      <c r="AN11" s="146">
        <f t="shared" si="12"/>
        <v>0</v>
      </c>
      <c r="AO11" s="145">
        <f t="shared" si="13"/>
        <v>0</v>
      </c>
      <c r="AP11" s="146">
        <f t="shared" si="14"/>
        <v>0</v>
      </c>
      <c r="AQ11" s="145">
        <f t="shared" si="15"/>
        <v>10767911.462095311</v>
      </c>
      <c r="AR11" s="146">
        <f t="shared" si="16"/>
        <v>13417033040</v>
      </c>
      <c r="AS11" s="145">
        <f t="shared" si="17"/>
        <v>0</v>
      </c>
      <c r="AT11" s="146">
        <f t="shared" si="18"/>
        <v>0</v>
      </c>
      <c r="AU11" s="145">
        <f t="shared" si="19"/>
        <v>0</v>
      </c>
      <c r="AV11" s="146">
        <f t="shared" si="20"/>
        <v>0</v>
      </c>
      <c r="AW11" s="145">
        <f t="shared" si="21"/>
        <v>10607400.394857226</v>
      </c>
      <c r="AX11" s="146">
        <f t="shared" si="34"/>
        <v>13217033040</v>
      </c>
      <c r="AY11" s="145">
        <f t="shared" si="22"/>
        <v>0</v>
      </c>
      <c r="AZ11" s="146">
        <f t="shared" si="23"/>
        <v>0</v>
      </c>
      <c r="BA11" s="145">
        <f t="shared" si="24"/>
        <v>0</v>
      </c>
      <c r="BB11" s="146">
        <f t="shared" si="25"/>
        <v>0</v>
      </c>
    </row>
    <row r="12" spans="1:54" ht="15.75" customHeight="1">
      <c r="A12" s="130">
        <f t="shared" si="35"/>
        <v>7</v>
      </c>
      <c r="B12" s="131" t="s">
        <v>19</v>
      </c>
      <c r="C12" s="132">
        <v>13</v>
      </c>
      <c r="D12" s="133" t="str">
        <f t="shared" si="26"/>
        <v>A.13</v>
      </c>
      <c r="E12" s="134" t="s">
        <v>40</v>
      </c>
      <c r="F12" s="134">
        <v>735</v>
      </c>
      <c r="G12" s="134">
        <v>9</v>
      </c>
      <c r="H12" s="134" t="s">
        <v>41</v>
      </c>
      <c r="I12" s="135">
        <v>43705</v>
      </c>
      <c r="J12" s="136">
        <v>1318.5</v>
      </c>
      <c r="K12" s="136">
        <f t="shared" si="27"/>
        <v>49.119999999999891</v>
      </c>
      <c r="L12" s="137">
        <v>1269.3800000000001</v>
      </c>
      <c r="M12" s="138">
        <f t="shared" si="1"/>
        <v>1269.3800000000001</v>
      </c>
      <c r="N12" s="139" t="s">
        <v>104</v>
      </c>
      <c r="O12" s="134" t="s">
        <v>119</v>
      </c>
      <c r="P12" s="134" t="s">
        <v>110</v>
      </c>
      <c r="Q12" s="140" t="s">
        <v>6</v>
      </c>
      <c r="R12" s="138"/>
      <c r="S12" s="141">
        <v>12052000.000000002</v>
      </c>
      <c r="T12" s="141">
        <f t="shared" si="28"/>
        <v>15298567760.000004</v>
      </c>
      <c r="U12" s="151">
        <f t="shared" si="29"/>
        <v>0</v>
      </c>
      <c r="V12" s="141">
        <f t="shared" si="30"/>
        <v>0</v>
      </c>
      <c r="W12" s="141">
        <f t="shared" si="36"/>
        <v>0</v>
      </c>
      <c r="X12" s="141">
        <f t="shared" si="31"/>
        <v>0</v>
      </c>
      <c r="Y12" s="141">
        <f t="shared" si="37"/>
        <v>0</v>
      </c>
      <c r="Z12" s="141">
        <f t="shared" si="2"/>
        <v>0</v>
      </c>
      <c r="AA12" s="141">
        <f t="shared" si="32"/>
        <v>0</v>
      </c>
      <c r="AB12" s="141">
        <f t="shared" si="3"/>
        <v>0</v>
      </c>
      <c r="AC12" s="142" t="s">
        <v>18</v>
      </c>
      <c r="AE12" s="145">
        <f t="shared" si="4"/>
        <v>11264213.836676175</v>
      </c>
      <c r="AF12" s="146">
        <f t="shared" si="33"/>
        <v>14298567760.000004</v>
      </c>
      <c r="AG12" s="145">
        <f t="shared" si="5"/>
        <v>0</v>
      </c>
      <c r="AH12" s="146">
        <f t="shared" si="6"/>
        <v>0</v>
      </c>
      <c r="AI12" s="145">
        <f t="shared" si="7"/>
        <v>0</v>
      </c>
      <c r="AJ12" s="146">
        <f t="shared" si="8"/>
        <v>0</v>
      </c>
      <c r="AK12" s="145">
        <f t="shared" si="9"/>
        <v>10949099.371346643</v>
      </c>
      <c r="AL12" s="146">
        <f t="shared" si="10"/>
        <v>13898567760.000004</v>
      </c>
      <c r="AM12" s="145">
        <f t="shared" si="11"/>
        <v>0</v>
      </c>
      <c r="AN12" s="146">
        <f t="shared" si="12"/>
        <v>0</v>
      </c>
      <c r="AO12" s="145">
        <f t="shared" si="13"/>
        <v>0</v>
      </c>
      <c r="AP12" s="146">
        <f t="shared" si="14"/>
        <v>0</v>
      </c>
      <c r="AQ12" s="145">
        <f t="shared" si="15"/>
        <v>10791542.138681877</v>
      </c>
      <c r="AR12" s="146">
        <f t="shared" si="16"/>
        <v>13698567760.000004</v>
      </c>
      <c r="AS12" s="145">
        <f t="shared" si="17"/>
        <v>0</v>
      </c>
      <c r="AT12" s="146">
        <f t="shared" si="18"/>
        <v>0</v>
      </c>
      <c r="AU12" s="145">
        <f t="shared" si="19"/>
        <v>0</v>
      </c>
      <c r="AV12" s="146">
        <f t="shared" si="20"/>
        <v>0</v>
      </c>
      <c r="AW12" s="145">
        <f t="shared" si="21"/>
        <v>10633984.906017113</v>
      </c>
      <c r="AX12" s="146">
        <f t="shared" si="34"/>
        <v>13498567760.000004</v>
      </c>
      <c r="AY12" s="145">
        <f t="shared" si="22"/>
        <v>0</v>
      </c>
      <c r="AZ12" s="146">
        <f t="shared" si="23"/>
        <v>0</v>
      </c>
      <c r="BA12" s="145">
        <f t="shared" si="24"/>
        <v>0</v>
      </c>
      <c r="BB12" s="146">
        <f t="shared" si="25"/>
        <v>0</v>
      </c>
    </row>
    <row r="13" spans="1:54" ht="15.75" customHeight="1">
      <c r="A13" s="130">
        <f t="shared" si="35"/>
        <v>8</v>
      </c>
      <c r="B13" s="131" t="s">
        <v>19</v>
      </c>
      <c r="C13" s="132">
        <v>14</v>
      </c>
      <c r="D13" s="133" t="str">
        <f t="shared" si="26"/>
        <v>A.14</v>
      </c>
      <c r="E13" s="134" t="s">
        <v>42</v>
      </c>
      <c r="F13" s="134">
        <v>696</v>
      </c>
      <c r="G13" s="134">
        <v>9</v>
      </c>
      <c r="H13" s="134" t="s">
        <v>43</v>
      </c>
      <c r="I13" s="135">
        <v>43705</v>
      </c>
      <c r="J13" s="136">
        <v>1322.5</v>
      </c>
      <c r="K13" s="136">
        <f t="shared" si="27"/>
        <v>47.809999999999945</v>
      </c>
      <c r="L13" s="137">
        <v>1274.69</v>
      </c>
      <c r="M13" s="138">
        <f t="shared" si="1"/>
        <v>1274.69</v>
      </c>
      <c r="N13" s="139" t="s">
        <v>104</v>
      </c>
      <c r="O13" s="134" t="s">
        <v>119</v>
      </c>
      <c r="P13" s="134" t="s">
        <v>110</v>
      </c>
      <c r="Q13" s="140" t="s">
        <v>6</v>
      </c>
      <c r="R13" s="138" t="s">
        <v>125</v>
      </c>
      <c r="S13" s="141">
        <v>12052000</v>
      </c>
      <c r="T13" s="141">
        <f>S13*M13</f>
        <v>15362563880</v>
      </c>
      <c r="U13" s="151">
        <f t="shared" si="29"/>
        <v>850</v>
      </c>
      <c r="V13" s="141">
        <f t="shared" si="30"/>
        <v>8000000</v>
      </c>
      <c r="W13" s="141">
        <f>V13*U13</f>
        <v>6800000000</v>
      </c>
      <c r="X13" s="141">
        <f t="shared" si="31"/>
        <v>7480000000.000001</v>
      </c>
      <c r="Y13" s="141">
        <f t="shared" si="37"/>
        <v>17386630.380720016</v>
      </c>
      <c r="Z13" s="141">
        <f t="shared" si="2"/>
        <v>22162563880</v>
      </c>
      <c r="AA13" s="141">
        <f t="shared" si="32"/>
        <v>17920093.418792021</v>
      </c>
      <c r="AB13" s="141">
        <f t="shared" si="3"/>
        <v>22842563880</v>
      </c>
      <c r="AC13" s="142" t="s">
        <v>18</v>
      </c>
      <c r="AE13" s="145">
        <f t="shared" si="4"/>
        <v>11267495.532247055</v>
      </c>
      <c r="AF13" s="146">
        <f t="shared" si="33"/>
        <v>14362563880</v>
      </c>
      <c r="AG13" s="145">
        <f t="shared" si="5"/>
        <v>16602125.912967073</v>
      </c>
      <c r="AH13" s="146">
        <f t="shared" si="6"/>
        <v>21162563880</v>
      </c>
      <c r="AI13" s="145">
        <f t="shared" si="7"/>
        <v>17135588.951039076</v>
      </c>
      <c r="AJ13" s="146">
        <f t="shared" si="8"/>
        <v>21842563880</v>
      </c>
      <c r="AK13" s="145">
        <f t="shared" si="9"/>
        <v>10953693.745145878</v>
      </c>
      <c r="AL13" s="146">
        <f t="shared" si="10"/>
        <v>13962563880</v>
      </c>
      <c r="AM13" s="145">
        <f t="shared" si="11"/>
        <v>16288324.125865895</v>
      </c>
      <c r="AN13" s="146">
        <f t="shared" si="12"/>
        <v>20762563880</v>
      </c>
      <c r="AO13" s="145">
        <f t="shared" si="13"/>
        <v>16821787.163937896</v>
      </c>
      <c r="AP13" s="146">
        <f t="shared" si="14"/>
        <v>21442563880</v>
      </c>
      <c r="AQ13" s="145">
        <f t="shared" si="15"/>
        <v>10796792.85159529</v>
      </c>
      <c r="AR13" s="146">
        <f t="shared" si="16"/>
        <v>13762563880</v>
      </c>
      <c r="AS13" s="145">
        <f t="shared" si="17"/>
        <v>16131423.232315307</v>
      </c>
      <c r="AT13" s="146">
        <f t="shared" si="18"/>
        <v>20562563880</v>
      </c>
      <c r="AU13" s="145">
        <f t="shared" si="19"/>
        <v>16664886.270387309</v>
      </c>
      <c r="AV13" s="146">
        <f t="shared" si="20"/>
        <v>21242563880</v>
      </c>
      <c r="AW13" s="145">
        <f t="shared" si="21"/>
        <v>10639891.9580447</v>
      </c>
      <c r="AX13" s="146">
        <f t="shared" si="34"/>
        <v>13562563880</v>
      </c>
      <c r="AY13" s="145">
        <f t="shared" si="22"/>
        <v>15974522.338764718</v>
      </c>
      <c r="AZ13" s="146">
        <f t="shared" si="23"/>
        <v>20362563880</v>
      </c>
      <c r="BA13" s="145">
        <f t="shared" si="24"/>
        <v>16507985.376836721</v>
      </c>
      <c r="BB13" s="146">
        <f t="shared" si="25"/>
        <v>21042563880</v>
      </c>
    </row>
    <row r="14" spans="1:54" ht="15.75" customHeight="1">
      <c r="A14" s="130">
        <f t="shared" si="35"/>
        <v>9</v>
      </c>
      <c r="B14" s="131" t="s">
        <v>19</v>
      </c>
      <c r="C14" s="132">
        <v>15</v>
      </c>
      <c r="D14" s="133" t="str">
        <f t="shared" si="26"/>
        <v>A.15</v>
      </c>
      <c r="E14" s="134" t="s">
        <v>44</v>
      </c>
      <c r="F14" s="134">
        <v>695</v>
      </c>
      <c r="G14" s="134">
        <v>9</v>
      </c>
      <c r="H14" s="134" t="s">
        <v>45</v>
      </c>
      <c r="I14" s="135">
        <v>43705</v>
      </c>
      <c r="J14" s="136">
        <v>1115.7</v>
      </c>
      <c r="K14" s="136">
        <f t="shared" si="27"/>
        <v>0</v>
      </c>
      <c r="L14" s="136">
        <v>1115.7</v>
      </c>
      <c r="M14" s="138">
        <f t="shared" si="1"/>
        <v>1115.7</v>
      </c>
      <c r="N14" s="139" t="s">
        <v>104</v>
      </c>
      <c r="O14" s="134" t="s">
        <v>119</v>
      </c>
      <c r="P14" s="134" t="s">
        <v>110</v>
      </c>
      <c r="Q14" s="140" t="s">
        <v>6</v>
      </c>
      <c r="R14" s="138" t="s">
        <v>125</v>
      </c>
      <c r="S14" s="141">
        <v>9070538.6750000007</v>
      </c>
      <c r="T14" s="141">
        <f>S14*M14</f>
        <v>10119999999.697502</v>
      </c>
      <c r="U14" s="151">
        <f t="shared" si="29"/>
        <v>850</v>
      </c>
      <c r="V14" s="141">
        <f t="shared" si="30"/>
        <v>8000000</v>
      </c>
      <c r="W14" s="141">
        <f t="shared" si="36"/>
        <v>6800000000</v>
      </c>
      <c r="X14" s="141">
        <f t="shared" si="31"/>
        <v>7480000000.000001</v>
      </c>
      <c r="Y14" s="141">
        <f t="shared" si="37"/>
        <v>15165367.033877837</v>
      </c>
      <c r="Z14" s="141">
        <f t="shared" si="2"/>
        <v>16919999999.697502</v>
      </c>
      <c r="AA14" s="141">
        <f t="shared" si="32"/>
        <v>15774849.869765619</v>
      </c>
      <c r="AB14" s="141">
        <f t="shared" si="3"/>
        <v>17599999999.697502</v>
      </c>
      <c r="AC14" s="142" t="s">
        <v>18</v>
      </c>
      <c r="AE14" s="145">
        <f t="shared" si="4"/>
        <v>8174240.3869297318</v>
      </c>
      <c r="AF14" s="146">
        <f t="shared" si="33"/>
        <v>9119999999.6975021</v>
      </c>
      <c r="AG14" s="145">
        <f t="shared" si="5"/>
        <v>14269068.745807566</v>
      </c>
      <c r="AH14" s="146">
        <f t="shared" si="6"/>
        <v>15919999999.697502</v>
      </c>
      <c r="AI14" s="145">
        <f t="shared" si="7"/>
        <v>14878551.58169535</v>
      </c>
      <c r="AJ14" s="146">
        <f t="shared" si="8"/>
        <v>16599999999.697502</v>
      </c>
      <c r="AK14" s="145">
        <f t="shared" si="9"/>
        <v>7815721.0717016235</v>
      </c>
      <c r="AL14" s="146">
        <f t="shared" si="10"/>
        <v>8719999999.6975021</v>
      </c>
      <c r="AM14" s="145">
        <f t="shared" si="11"/>
        <v>13910549.430579457</v>
      </c>
      <c r="AN14" s="146">
        <f t="shared" si="12"/>
        <v>15519999999.697502</v>
      </c>
      <c r="AO14" s="145">
        <f t="shared" si="13"/>
        <v>14520032.266467242</v>
      </c>
      <c r="AP14" s="146">
        <f t="shared" si="14"/>
        <v>16199999999.697502</v>
      </c>
      <c r="AQ14" s="145">
        <f t="shared" si="15"/>
        <v>7636461.4140875703</v>
      </c>
      <c r="AR14" s="146">
        <f t="shared" si="16"/>
        <v>8519999999.6975021</v>
      </c>
      <c r="AS14" s="145">
        <f t="shared" si="17"/>
        <v>13731289.772965405</v>
      </c>
      <c r="AT14" s="146">
        <f t="shared" si="18"/>
        <v>15319999999.697502</v>
      </c>
      <c r="AU14" s="145">
        <f t="shared" si="19"/>
        <v>14340772.608853187</v>
      </c>
      <c r="AV14" s="146">
        <f t="shared" si="20"/>
        <v>15999999999.697502</v>
      </c>
      <c r="AW14" s="145">
        <f t="shared" si="21"/>
        <v>7457201.7564735161</v>
      </c>
      <c r="AX14" s="146">
        <f t="shared" si="34"/>
        <v>8319999999.6975021</v>
      </c>
      <c r="AY14" s="145">
        <f t="shared" si="22"/>
        <v>13552030.115351351</v>
      </c>
      <c r="AZ14" s="146">
        <f t="shared" si="23"/>
        <v>15119999999.697502</v>
      </c>
      <c r="BA14" s="145">
        <f t="shared" si="24"/>
        <v>14161512.951239133</v>
      </c>
      <c r="BB14" s="146">
        <f t="shared" si="25"/>
        <v>15799999999.697502</v>
      </c>
    </row>
    <row r="15" spans="1:54" ht="15.75" customHeight="1">
      <c r="A15" s="130">
        <f t="shared" si="35"/>
        <v>10</v>
      </c>
      <c r="B15" s="131" t="s">
        <v>19</v>
      </c>
      <c r="C15" s="132">
        <v>16</v>
      </c>
      <c r="D15" s="133" t="str">
        <f t="shared" si="26"/>
        <v>A.16</v>
      </c>
      <c r="E15" s="134" t="s">
        <v>46</v>
      </c>
      <c r="F15" s="134">
        <v>717</v>
      </c>
      <c r="G15" s="134">
        <v>9</v>
      </c>
      <c r="H15" s="134" t="s">
        <v>47</v>
      </c>
      <c r="I15" s="135">
        <v>43705</v>
      </c>
      <c r="J15" s="136">
        <v>1329.9</v>
      </c>
      <c r="K15" s="136">
        <f t="shared" si="27"/>
        <v>363.53000000000009</v>
      </c>
      <c r="L15" s="137">
        <v>966.37</v>
      </c>
      <c r="M15" s="138">
        <f t="shared" si="1"/>
        <v>966.37</v>
      </c>
      <c r="N15" s="139" t="s">
        <v>105</v>
      </c>
      <c r="O15" s="134" t="s">
        <v>119</v>
      </c>
      <c r="P15" s="134" t="s">
        <v>109</v>
      </c>
      <c r="Q15" s="140" t="s">
        <v>8</v>
      </c>
      <c r="R15" s="138" t="s">
        <v>124</v>
      </c>
      <c r="S15" s="141">
        <v>12775120</v>
      </c>
      <c r="T15" s="141">
        <f t="shared" si="28"/>
        <v>12345492714.4</v>
      </c>
      <c r="U15" s="151">
        <f t="shared" si="29"/>
        <v>491</v>
      </c>
      <c r="V15" s="141">
        <f t="shared" si="30"/>
        <v>10300000</v>
      </c>
      <c r="W15" s="141">
        <f t="shared" si="36"/>
        <v>5057300000</v>
      </c>
      <c r="X15" s="141">
        <f t="shared" si="31"/>
        <v>5563030000</v>
      </c>
      <c r="Y15" s="141">
        <f t="shared" si="37"/>
        <v>18008415.73558782</v>
      </c>
      <c r="Z15" s="141">
        <f t="shared" si="2"/>
        <v>17402792714.400002</v>
      </c>
      <c r="AA15" s="141">
        <f t="shared" si="32"/>
        <v>18531745.309146602</v>
      </c>
      <c r="AB15" s="141">
        <f t="shared" si="3"/>
        <v>17908522714.400002</v>
      </c>
      <c r="AC15" s="142" t="s">
        <v>18</v>
      </c>
      <c r="AE15" s="145">
        <f t="shared" si="4"/>
        <v>11740319.664724691</v>
      </c>
      <c r="AF15" s="146">
        <f t="shared" si="33"/>
        <v>11345492714.4</v>
      </c>
      <c r="AG15" s="145">
        <f t="shared" si="5"/>
        <v>16973615.400312509</v>
      </c>
      <c r="AH15" s="146">
        <f t="shared" si="6"/>
        <v>16402792714.4</v>
      </c>
      <c r="AI15" s="145">
        <f t="shared" si="7"/>
        <v>17496944.973871291</v>
      </c>
      <c r="AJ15" s="146">
        <f t="shared" si="8"/>
        <v>16908522714.4</v>
      </c>
      <c r="AK15" s="145">
        <f t="shared" si="9"/>
        <v>11326399.530614568</v>
      </c>
      <c r="AL15" s="146">
        <f t="shared" si="10"/>
        <v>10945492714.4</v>
      </c>
      <c r="AM15" s="145">
        <f t="shared" si="11"/>
        <v>16559695.266202386</v>
      </c>
      <c r="AN15" s="146">
        <f t="shared" si="12"/>
        <v>16002792714.4</v>
      </c>
      <c r="AO15" s="145">
        <f t="shared" si="13"/>
        <v>17083024.839761168</v>
      </c>
      <c r="AP15" s="146">
        <f t="shared" si="14"/>
        <v>16508522714.4</v>
      </c>
      <c r="AQ15" s="145">
        <f t="shared" si="15"/>
        <v>11119439.463559506</v>
      </c>
      <c r="AR15" s="146">
        <f t="shared" si="16"/>
        <v>10745492714.4</v>
      </c>
      <c r="AS15" s="145">
        <f t="shared" si="17"/>
        <v>16352735.199147323</v>
      </c>
      <c r="AT15" s="146">
        <f t="shared" si="18"/>
        <v>15802792714.4</v>
      </c>
      <c r="AU15" s="145">
        <f t="shared" si="19"/>
        <v>16876064.772706106</v>
      </c>
      <c r="AV15" s="146">
        <f t="shared" si="20"/>
        <v>16308522714.4</v>
      </c>
      <c r="AW15" s="145">
        <f t="shared" si="21"/>
        <v>10912479.396504443</v>
      </c>
      <c r="AX15" s="146">
        <f t="shared" si="34"/>
        <v>10545492714.4</v>
      </c>
      <c r="AY15" s="145">
        <f t="shared" si="22"/>
        <v>16145775.132092262</v>
      </c>
      <c r="AZ15" s="146">
        <f t="shared" si="23"/>
        <v>15602792714.4</v>
      </c>
      <c r="BA15" s="145">
        <f t="shared" si="24"/>
        <v>16669104.705651045</v>
      </c>
      <c r="BB15" s="146">
        <f t="shared" si="25"/>
        <v>16108522714.4</v>
      </c>
    </row>
    <row r="16" spans="1:54" ht="15.75" customHeight="1">
      <c r="A16" s="130">
        <f t="shared" si="35"/>
        <v>11</v>
      </c>
      <c r="B16" s="131" t="s">
        <v>19</v>
      </c>
      <c r="C16" s="132">
        <v>17</v>
      </c>
      <c r="D16" s="133" t="str">
        <f t="shared" si="26"/>
        <v>A.17</v>
      </c>
      <c r="E16" s="134" t="s">
        <v>48</v>
      </c>
      <c r="F16" s="134">
        <v>718</v>
      </c>
      <c r="G16" s="134">
        <v>9</v>
      </c>
      <c r="H16" s="134" t="s">
        <v>49</v>
      </c>
      <c r="I16" s="135">
        <v>43705</v>
      </c>
      <c r="J16" s="136">
        <v>1011.5</v>
      </c>
      <c r="K16" s="136">
        <f t="shared" si="27"/>
        <v>174.73000000000002</v>
      </c>
      <c r="L16" s="137">
        <f>836.78-0.01</f>
        <v>836.77</v>
      </c>
      <c r="M16" s="138">
        <f t="shared" si="1"/>
        <v>836.77</v>
      </c>
      <c r="N16" s="139" t="s">
        <v>104</v>
      </c>
      <c r="O16" s="134" t="s">
        <v>119</v>
      </c>
      <c r="P16" s="134" t="s">
        <v>110</v>
      </c>
      <c r="Q16" s="140" t="s">
        <v>8</v>
      </c>
      <c r="R16" s="138" t="s">
        <v>124</v>
      </c>
      <c r="S16" s="141">
        <v>12534080</v>
      </c>
      <c r="T16" s="141">
        <f t="shared" si="28"/>
        <v>10488142121.6</v>
      </c>
      <c r="U16" s="151">
        <f t="shared" si="29"/>
        <v>491</v>
      </c>
      <c r="V16" s="141">
        <f t="shared" si="30"/>
        <v>10300000</v>
      </c>
      <c r="W16" s="141">
        <f t="shared" si="36"/>
        <v>5057300000</v>
      </c>
      <c r="X16" s="141">
        <f t="shared" si="31"/>
        <v>5563030000</v>
      </c>
      <c r="Y16" s="141">
        <f t="shared" si="37"/>
        <v>18577915.223538131</v>
      </c>
      <c r="Z16" s="141">
        <f t="shared" si="2"/>
        <v>15545442121.6</v>
      </c>
      <c r="AA16" s="141">
        <f t="shared" si="32"/>
        <v>19182298.745891944</v>
      </c>
      <c r="AB16" s="141">
        <f t="shared" si="3"/>
        <v>16051172121.6</v>
      </c>
      <c r="AC16" s="142" t="s">
        <v>18</v>
      </c>
      <c r="AE16" s="145">
        <f t="shared" si="4"/>
        <v>11339008.474969227</v>
      </c>
      <c r="AF16" s="146">
        <f t="shared" si="33"/>
        <v>9488142121.6000004</v>
      </c>
      <c r="AG16" s="145">
        <f t="shared" si="5"/>
        <v>17382843.698507357</v>
      </c>
      <c r="AH16" s="146">
        <f t="shared" si="6"/>
        <v>14545442121.6</v>
      </c>
      <c r="AI16" s="145">
        <f t="shared" si="7"/>
        <v>17987227.22086117</v>
      </c>
      <c r="AJ16" s="146">
        <f t="shared" si="8"/>
        <v>15051172121.6</v>
      </c>
      <c r="AK16" s="145">
        <f t="shared" si="9"/>
        <v>10860979.864956919</v>
      </c>
      <c r="AL16" s="146">
        <f t="shared" si="10"/>
        <v>9088142121.6000004</v>
      </c>
      <c r="AM16" s="145">
        <f t="shared" si="11"/>
        <v>16904815.088495046</v>
      </c>
      <c r="AN16" s="146">
        <f t="shared" si="12"/>
        <v>14145442121.6</v>
      </c>
      <c r="AO16" s="145">
        <f t="shared" si="13"/>
        <v>17509198.610848859</v>
      </c>
      <c r="AP16" s="146">
        <f t="shared" si="14"/>
        <v>14651172121.6</v>
      </c>
      <c r="AQ16" s="145">
        <f t="shared" si="15"/>
        <v>10621965.559950763</v>
      </c>
      <c r="AR16" s="146">
        <f t="shared" si="16"/>
        <v>8888142121.6000004</v>
      </c>
      <c r="AS16" s="145">
        <f t="shared" si="17"/>
        <v>16665800.783488892</v>
      </c>
      <c r="AT16" s="146">
        <f t="shared" si="18"/>
        <v>13945442121.6</v>
      </c>
      <c r="AU16" s="145">
        <f t="shared" si="19"/>
        <v>17270184.305842705</v>
      </c>
      <c r="AV16" s="146">
        <f t="shared" si="20"/>
        <v>14451172121.6</v>
      </c>
      <c r="AW16" s="145">
        <f t="shared" si="21"/>
        <v>10382951.254944609</v>
      </c>
      <c r="AX16" s="146">
        <f t="shared" si="34"/>
        <v>8688142121.6000004</v>
      </c>
      <c r="AY16" s="145">
        <f t="shared" si="22"/>
        <v>16426786.478482738</v>
      </c>
      <c r="AZ16" s="146">
        <f t="shared" si="23"/>
        <v>13745442121.6</v>
      </c>
      <c r="BA16" s="145">
        <f t="shared" si="24"/>
        <v>17031170.000836551</v>
      </c>
      <c r="BB16" s="146">
        <f t="shared" si="25"/>
        <v>14251172121.6</v>
      </c>
    </row>
    <row r="17" spans="1:54" ht="15.75" customHeight="1">
      <c r="A17" s="130">
        <f t="shared" si="35"/>
        <v>12</v>
      </c>
      <c r="B17" s="131" t="s">
        <v>19</v>
      </c>
      <c r="C17" s="132">
        <v>18</v>
      </c>
      <c r="D17" s="133" t="str">
        <f t="shared" si="26"/>
        <v>A.18</v>
      </c>
      <c r="E17" s="134" t="s">
        <v>50</v>
      </c>
      <c r="F17" s="134">
        <v>719</v>
      </c>
      <c r="G17" s="134">
        <v>9</v>
      </c>
      <c r="H17" s="134" t="s">
        <v>51</v>
      </c>
      <c r="I17" s="135">
        <v>43705</v>
      </c>
      <c r="J17" s="136">
        <v>1003.2</v>
      </c>
      <c r="K17" s="136">
        <f t="shared" si="27"/>
        <v>172.47000000000003</v>
      </c>
      <c r="L17" s="137">
        <f>830.87-0.14</f>
        <v>830.73</v>
      </c>
      <c r="M17" s="138">
        <f t="shared" si="1"/>
        <v>830.73</v>
      </c>
      <c r="N17" s="139" t="s">
        <v>104</v>
      </c>
      <c r="O17" s="133" t="s">
        <v>107</v>
      </c>
      <c r="P17" s="134" t="s">
        <v>110</v>
      </c>
      <c r="Q17" s="140" t="s">
        <v>8</v>
      </c>
      <c r="R17" s="138" t="s">
        <v>124</v>
      </c>
      <c r="S17" s="141">
        <v>14944480</v>
      </c>
      <c r="T17" s="141">
        <f t="shared" si="28"/>
        <v>12414827870.4</v>
      </c>
      <c r="U17" s="151">
        <f t="shared" si="29"/>
        <v>491</v>
      </c>
      <c r="V17" s="141">
        <f t="shared" si="30"/>
        <v>10300000</v>
      </c>
      <c r="W17" s="141">
        <f t="shared" si="36"/>
        <v>5057300000</v>
      </c>
      <c r="X17" s="141">
        <f t="shared" si="31"/>
        <v>5563030000</v>
      </c>
      <c r="Y17" s="141">
        <f t="shared" si="37"/>
        <v>21032258.219156645</v>
      </c>
      <c r="Z17" s="141">
        <f t="shared" si="2"/>
        <v>17472127870.400002</v>
      </c>
      <c r="AA17" s="141">
        <f t="shared" si="32"/>
        <v>21641036.041072313</v>
      </c>
      <c r="AB17" s="141">
        <f t="shared" si="3"/>
        <v>17977857870.400002</v>
      </c>
      <c r="AC17" s="142" t="s">
        <v>18</v>
      </c>
      <c r="AE17" s="145">
        <f t="shared" si="4"/>
        <v>13740719.452048197</v>
      </c>
      <c r="AF17" s="146">
        <f t="shared" si="33"/>
        <v>11414827870.4</v>
      </c>
      <c r="AG17" s="145">
        <f t="shared" si="5"/>
        <v>19828497.671204843</v>
      </c>
      <c r="AH17" s="146">
        <f t="shared" si="6"/>
        <v>16472127870.4</v>
      </c>
      <c r="AI17" s="145">
        <f t="shared" si="7"/>
        <v>20437275.493120506</v>
      </c>
      <c r="AJ17" s="146">
        <f t="shared" si="8"/>
        <v>16977857870.4</v>
      </c>
      <c r="AK17" s="145">
        <f t="shared" si="9"/>
        <v>13259215.232867477</v>
      </c>
      <c r="AL17" s="146">
        <f t="shared" si="10"/>
        <v>11014827870.4</v>
      </c>
      <c r="AM17" s="145">
        <f t="shared" si="11"/>
        <v>19346993.452024121</v>
      </c>
      <c r="AN17" s="146">
        <f t="shared" si="12"/>
        <v>16072127870.4</v>
      </c>
      <c r="AO17" s="145">
        <f t="shared" si="13"/>
        <v>19955771.273939788</v>
      </c>
      <c r="AP17" s="146">
        <f t="shared" si="14"/>
        <v>16577857870.4</v>
      </c>
      <c r="AQ17" s="145">
        <f t="shared" si="15"/>
        <v>13018463.123277117</v>
      </c>
      <c r="AR17" s="146">
        <f t="shared" si="16"/>
        <v>10814827870.4</v>
      </c>
      <c r="AS17" s="145">
        <f t="shared" si="17"/>
        <v>19106241.342433762</v>
      </c>
      <c r="AT17" s="146">
        <f t="shared" si="18"/>
        <v>15872127870.4</v>
      </c>
      <c r="AU17" s="145">
        <f t="shared" si="19"/>
        <v>19715019.164349426</v>
      </c>
      <c r="AV17" s="146">
        <f t="shared" si="20"/>
        <v>16377857870.4</v>
      </c>
      <c r="AW17" s="145">
        <f t="shared" si="21"/>
        <v>12777711.013686758</v>
      </c>
      <c r="AX17" s="146">
        <f t="shared" si="34"/>
        <v>10614827870.4</v>
      </c>
      <c r="AY17" s="145">
        <f t="shared" si="22"/>
        <v>18865489.232843403</v>
      </c>
      <c r="AZ17" s="146">
        <f t="shared" si="23"/>
        <v>15672127870.4</v>
      </c>
      <c r="BA17" s="145">
        <f t="shared" si="24"/>
        <v>19474267.054759067</v>
      </c>
      <c r="BB17" s="146">
        <f t="shared" si="25"/>
        <v>16177857870.4</v>
      </c>
    </row>
    <row r="18" spans="1:54" ht="15.75" customHeight="1">
      <c r="A18" s="130">
        <f t="shared" si="35"/>
        <v>13</v>
      </c>
      <c r="B18" s="131" t="s">
        <v>19</v>
      </c>
      <c r="C18" s="132">
        <v>19</v>
      </c>
      <c r="D18" s="133" t="str">
        <f t="shared" si="26"/>
        <v>A.19</v>
      </c>
      <c r="E18" s="134" t="s">
        <v>52</v>
      </c>
      <c r="F18" s="134">
        <v>720</v>
      </c>
      <c r="G18" s="134">
        <v>9</v>
      </c>
      <c r="H18" s="134" t="s">
        <v>53</v>
      </c>
      <c r="I18" s="135">
        <v>43705</v>
      </c>
      <c r="J18" s="136">
        <v>1009</v>
      </c>
      <c r="K18" s="136">
        <f t="shared" si="27"/>
        <v>160.87</v>
      </c>
      <c r="L18" s="137">
        <v>848.13</v>
      </c>
      <c r="M18" s="138">
        <f t="shared" si="1"/>
        <v>848.13</v>
      </c>
      <c r="N18" s="139" t="s">
        <v>104</v>
      </c>
      <c r="O18" s="133" t="s">
        <v>107</v>
      </c>
      <c r="P18" s="134" t="s">
        <v>110</v>
      </c>
      <c r="Q18" s="140" t="s">
        <v>8</v>
      </c>
      <c r="R18" s="138" t="s">
        <v>124</v>
      </c>
      <c r="S18" s="141">
        <v>14944480</v>
      </c>
      <c r="T18" s="141">
        <f t="shared" si="28"/>
        <v>12674861822.4</v>
      </c>
      <c r="U18" s="151">
        <f t="shared" si="29"/>
        <v>491</v>
      </c>
      <c r="V18" s="141">
        <f t="shared" si="30"/>
        <v>10300000</v>
      </c>
      <c r="W18" s="141">
        <f t="shared" si="36"/>
        <v>5057300000</v>
      </c>
      <c r="X18" s="141">
        <f t="shared" si="31"/>
        <v>5563030000</v>
      </c>
      <c r="Y18" s="141">
        <f t="shared" si="37"/>
        <v>20907363.048589252</v>
      </c>
      <c r="Z18" s="141">
        <f t="shared" si="2"/>
        <v>17732161822.400002</v>
      </c>
      <c r="AA18" s="141">
        <f t="shared" si="32"/>
        <v>21503651.353448175</v>
      </c>
      <c r="AB18" s="141">
        <f t="shared" si="3"/>
        <v>18237891822.400002</v>
      </c>
      <c r="AC18" s="142" t="s">
        <v>18</v>
      </c>
      <c r="AE18" s="145">
        <f t="shared" si="4"/>
        <v>13765415.469798261</v>
      </c>
      <c r="AF18" s="146">
        <f t="shared" si="33"/>
        <v>11674861822.4</v>
      </c>
      <c r="AG18" s="145">
        <f t="shared" si="5"/>
        <v>19728298.518387511</v>
      </c>
      <c r="AH18" s="146">
        <f t="shared" si="6"/>
        <v>16732161822.4</v>
      </c>
      <c r="AI18" s="145">
        <f t="shared" si="7"/>
        <v>20324586.823246438</v>
      </c>
      <c r="AJ18" s="146">
        <f t="shared" si="8"/>
        <v>17237891822.400002</v>
      </c>
      <c r="AK18" s="145">
        <f t="shared" si="9"/>
        <v>13293789.657717567</v>
      </c>
      <c r="AL18" s="146">
        <f t="shared" si="10"/>
        <v>11274861822.4</v>
      </c>
      <c r="AM18" s="145">
        <f t="shared" si="11"/>
        <v>19256672.706306815</v>
      </c>
      <c r="AN18" s="146">
        <f t="shared" si="12"/>
        <v>16332161822.4</v>
      </c>
      <c r="AO18" s="145">
        <f t="shared" si="13"/>
        <v>19852961.011165742</v>
      </c>
      <c r="AP18" s="146">
        <f t="shared" si="14"/>
        <v>16837891822.4</v>
      </c>
      <c r="AQ18" s="145">
        <f t="shared" si="15"/>
        <v>13057976.751677219</v>
      </c>
      <c r="AR18" s="146">
        <f t="shared" si="16"/>
        <v>11074861822.4</v>
      </c>
      <c r="AS18" s="145">
        <f t="shared" si="17"/>
        <v>19020859.800266467</v>
      </c>
      <c r="AT18" s="146">
        <f t="shared" si="18"/>
        <v>16132161822.4</v>
      </c>
      <c r="AU18" s="145">
        <f t="shared" si="19"/>
        <v>19617148.105125394</v>
      </c>
      <c r="AV18" s="146">
        <f t="shared" si="20"/>
        <v>16637891822.4</v>
      </c>
      <c r="AW18" s="145">
        <f t="shared" si="21"/>
        <v>12822163.845636871</v>
      </c>
      <c r="AX18" s="146">
        <f t="shared" si="34"/>
        <v>10874861822.4</v>
      </c>
      <c r="AY18" s="145">
        <f t="shared" si="22"/>
        <v>18785046.894226119</v>
      </c>
      <c r="AZ18" s="146">
        <f t="shared" si="23"/>
        <v>15932161822.4</v>
      </c>
      <c r="BA18" s="145">
        <f t="shared" si="24"/>
        <v>19381335.199085046</v>
      </c>
      <c r="BB18" s="146">
        <f t="shared" si="25"/>
        <v>16437891822.4</v>
      </c>
    </row>
    <row r="19" spans="1:54" ht="15.75" customHeight="1">
      <c r="A19" s="130">
        <f t="shared" si="35"/>
        <v>14</v>
      </c>
      <c r="B19" s="131" t="s">
        <v>19</v>
      </c>
      <c r="C19" s="132">
        <v>20</v>
      </c>
      <c r="D19" s="133" t="str">
        <f t="shared" si="26"/>
        <v>A.20</v>
      </c>
      <c r="E19" s="134" t="s">
        <v>54</v>
      </c>
      <c r="F19" s="134">
        <v>721</v>
      </c>
      <c r="G19" s="134">
        <v>9</v>
      </c>
      <c r="H19" s="134" t="s">
        <v>55</v>
      </c>
      <c r="I19" s="135">
        <v>43705</v>
      </c>
      <c r="J19" s="136">
        <v>1106.9000000000001</v>
      </c>
      <c r="K19" s="136">
        <f t="shared" si="27"/>
        <v>165.50000000000011</v>
      </c>
      <c r="L19" s="137">
        <v>941.4</v>
      </c>
      <c r="M19" s="138">
        <f t="shared" si="1"/>
        <v>941.4</v>
      </c>
      <c r="N19" s="139" t="s">
        <v>104</v>
      </c>
      <c r="O19" s="133" t="s">
        <v>107</v>
      </c>
      <c r="P19" s="134" t="s">
        <v>110</v>
      </c>
      <c r="Q19" s="140" t="s">
        <v>8</v>
      </c>
      <c r="R19" s="138" t="s">
        <v>124</v>
      </c>
      <c r="S19" s="141">
        <v>14944480</v>
      </c>
      <c r="T19" s="141">
        <f t="shared" si="28"/>
        <v>14068733472</v>
      </c>
      <c r="U19" s="151">
        <f t="shared" si="29"/>
        <v>491</v>
      </c>
      <c r="V19" s="141">
        <f t="shared" si="30"/>
        <v>10300000</v>
      </c>
      <c r="W19" s="141">
        <f t="shared" si="36"/>
        <v>5057300000</v>
      </c>
      <c r="X19" s="141">
        <f t="shared" si="31"/>
        <v>5563030000</v>
      </c>
      <c r="Y19" s="141">
        <f t="shared" si="37"/>
        <v>20316585.374973446</v>
      </c>
      <c r="Z19" s="141">
        <f t="shared" si="2"/>
        <v>19126033472</v>
      </c>
      <c r="AA19" s="141">
        <f t="shared" si="32"/>
        <v>20853795.912470788</v>
      </c>
      <c r="AB19" s="141">
        <f t="shared" si="3"/>
        <v>19631763472</v>
      </c>
      <c r="AC19" s="142" t="s">
        <v>18</v>
      </c>
      <c r="AE19" s="145">
        <f t="shared" si="4"/>
        <v>13882232.283832589</v>
      </c>
      <c r="AF19" s="146">
        <f t="shared" si="33"/>
        <v>13068733472</v>
      </c>
      <c r="AG19" s="145">
        <f t="shared" si="5"/>
        <v>19254337.658806033</v>
      </c>
      <c r="AH19" s="146">
        <f t="shared" si="6"/>
        <v>18126033472</v>
      </c>
      <c r="AI19" s="145">
        <f t="shared" si="7"/>
        <v>19791548.196303379</v>
      </c>
      <c r="AJ19" s="146">
        <f t="shared" si="8"/>
        <v>18631763472</v>
      </c>
      <c r="AK19" s="145">
        <f t="shared" si="9"/>
        <v>13457333.197365627</v>
      </c>
      <c r="AL19" s="146">
        <f t="shared" si="10"/>
        <v>12668733472</v>
      </c>
      <c r="AM19" s="145">
        <f t="shared" si="11"/>
        <v>18829438.572339069</v>
      </c>
      <c r="AN19" s="146">
        <f t="shared" si="12"/>
        <v>17726033472</v>
      </c>
      <c r="AO19" s="145">
        <f t="shared" si="13"/>
        <v>19366649.109836414</v>
      </c>
      <c r="AP19" s="146">
        <f t="shared" si="14"/>
        <v>18231763472</v>
      </c>
      <c r="AQ19" s="145">
        <f t="shared" si="15"/>
        <v>13244883.654132145</v>
      </c>
      <c r="AR19" s="146">
        <f t="shared" si="16"/>
        <v>12468733472</v>
      </c>
      <c r="AS19" s="145">
        <f t="shared" si="17"/>
        <v>18616989.029105589</v>
      </c>
      <c r="AT19" s="146">
        <f t="shared" si="18"/>
        <v>17526033472</v>
      </c>
      <c r="AU19" s="145">
        <f t="shared" si="19"/>
        <v>19154199.56660293</v>
      </c>
      <c r="AV19" s="146">
        <f t="shared" si="20"/>
        <v>18031763472</v>
      </c>
      <c r="AW19" s="145">
        <f t="shared" si="21"/>
        <v>13032434.110898662</v>
      </c>
      <c r="AX19" s="146">
        <f t="shared" si="34"/>
        <v>12268733472</v>
      </c>
      <c r="AY19" s="145">
        <f t="shared" si="22"/>
        <v>18404539.485872105</v>
      </c>
      <c r="AZ19" s="146">
        <f t="shared" si="23"/>
        <v>17326033472</v>
      </c>
      <c r="BA19" s="145">
        <f t="shared" si="24"/>
        <v>18941750.02336945</v>
      </c>
      <c r="BB19" s="146">
        <f t="shared" si="25"/>
        <v>17831763472</v>
      </c>
    </row>
    <row r="20" spans="1:54" ht="15.75" customHeight="1">
      <c r="A20" s="130">
        <f t="shared" si="35"/>
        <v>15</v>
      </c>
      <c r="B20" s="131" t="s">
        <v>19</v>
      </c>
      <c r="C20" s="132">
        <v>21</v>
      </c>
      <c r="D20" s="133" t="str">
        <f t="shared" si="26"/>
        <v>A.21</v>
      </c>
      <c r="E20" s="134" t="s">
        <v>56</v>
      </c>
      <c r="F20" s="134">
        <v>722</v>
      </c>
      <c r="G20" s="134">
        <v>9</v>
      </c>
      <c r="H20" s="134" t="s">
        <v>57</v>
      </c>
      <c r="I20" s="135">
        <v>43705</v>
      </c>
      <c r="J20" s="136">
        <v>1331</v>
      </c>
      <c r="K20" s="136">
        <f t="shared" si="27"/>
        <v>183.78999999999996</v>
      </c>
      <c r="L20" s="137">
        <v>1147.21</v>
      </c>
      <c r="M20" s="138">
        <f t="shared" si="1"/>
        <v>1147.21</v>
      </c>
      <c r="N20" s="139" t="s">
        <v>104</v>
      </c>
      <c r="O20" s="133" t="s">
        <v>107</v>
      </c>
      <c r="P20" s="134" t="s">
        <v>110</v>
      </c>
      <c r="Q20" s="140" t="s">
        <v>8</v>
      </c>
      <c r="R20" s="138" t="s">
        <v>124</v>
      </c>
      <c r="S20" s="141">
        <v>14884220</v>
      </c>
      <c r="T20" s="141">
        <f t="shared" si="28"/>
        <v>17075326026.200001</v>
      </c>
      <c r="U20" s="151">
        <f t="shared" si="29"/>
        <v>491</v>
      </c>
      <c r="V20" s="141">
        <f t="shared" si="30"/>
        <v>10300000</v>
      </c>
      <c r="W20" s="141">
        <f t="shared" si="36"/>
        <v>5057300000</v>
      </c>
      <c r="X20" s="141">
        <f t="shared" si="31"/>
        <v>5563030000</v>
      </c>
      <c r="Y20" s="141">
        <f t="shared" si="37"/>
        <v>19292567.207573157</v>
      </c>
      <c r="Z20" s="141">
        <f t="shared" si="2"/>
        <v>22132626026.200001</v>
      </c>
      <c r="AA20" s="141">
        <f t="shared" si="32"/>
        <v>19733401.92833047</v>
      </c>
      <c r="AB20" s="141">
        <f t="shared" si="3"/>
        <v>22638356026.200001</v>
      </c>
      <c r="AC20" s="142" t="s">
        <v>18</v>
      </c>
      <c r="AE20" s="145">
        <f t="shared" si="4"/>
        <v>14012540.011157503</v>
      </c>
      <c r="AF20" s="146">
        <f t="shared" si="33"/>
        <v>16075326026.200001</v>
      </c>
      <c r="AG20" s="145">
        <f t="shared" si="5"/>
        <v>18420887.218730658</v>
      </c>
      <c r="AH20" s="146">
        <f t="shared" si="6"/>
        <v>21132626026.200001</v>
      </c>
      <c r="AI20" s="145">
        <f t="shared" si="7"/>
        <v>18861721.939487975</v>
      </c>
      <c r="AJ20" s="146">
        <f t="shared" si="8"/>
        <v>21638356026.200001</v>
      </c>
      <c r="AK20" s="145">
        <f t="shared" si="9"/>
        <v>13663868.015620505</v>
      </c>
      <c r="AL20" s="146">
        <f t="shared" si="10"/>
        <v>15675326026.200001</v>
      </c>
      <c r="AM20" s="145">
        <f t="shared" si="11"/>
        <v>18072215.22319366</v>
      </c>
      <c r="AN20" s="146">
        <f t="shared" si="12"/>
        <v>20732626026.200001</v>
      </c>
      <c r="AO20" s="145">
        <f t="shared" si="13"/>
        <v>18513049.943950977</v>
      </c>
      <c r="AP20" s="146">
        <f t="shared" si="14"/>
        <v>21238356026.200001</v>
      </c>
      <c r="AQ20" s="145">
        <f t="shared" si="15"/>
        <v>13489532.017852006</v>
      </c>
      <c r="AR20" s="146">
        <f t="shared" si="16"/>
        <v>15475326026.200001</v>
      </c>
      <c r="AS20" s="145">
        <f t="shared" si="17"/>
        <v>17897879.225425161</v>
      </c>
      <c r="AT20" s="146">
        <f t="shared" si="18"/>
        <v>20532626026.200001</v>
      </c>
      <c r="AU20" s="145">
        <f t="shared" si="19"/>
        <v>18338713.946182478</v>
      </c>
      <c r="AV20" s="146">
        <f t="shared" si="20"/>
        <v>21038356026.200001</v>
      </c>
      <c r="AW20" s="145">
        <f t="shared" si="21"/>
        <v>13315196.020083508</v>
      </c>
      <c r="AX20" s="146">
        <f t="shared" si="34"/>
        <v>15275326026.200001</v>
      </c>
      <c r="AY20" s="145">
        <f t="shared" si="22"/>
        <v>17723543.227656662</v>
      </c>
      <c r="AZ20" s="146">
        <f t="shared" si="23"/>
        <v>20332626026.200001</v>
      </c>
      <c r="BA20" s="145">
        <f t="shared" si="24"/>
        <v>18164377.948413979</v>
      </c>
      <c r="BB20" s="146">
        <f t="shared" si="25"/>
        <v>20838356026.200001</v>
      </c>
    </row>
    <row r="21" spans="1:54" ht="15.75" customHeight="1">
      <c r="A21" s="130">
        <f t="shared" si="35"/>
        <v>16</v>
      </c>
      <c r="B21" s="131" t="s">
        <v>19</v>
      </c>
      <c r="C21" s="132">
        <v>22</v>
      </c>
      <c r="D21" s="133" t="str">
        <f t="shared" si="26"/>
        <v>A.22</v>
      </c>
      <c r="E21" s="134" t="s">
        <v>58</v>
      </c>
      <c r="F21" s="134">
        <v>723</v>
      </c>
      <c r="G21" s="134">
        <v>9</v>
      </c>
      <c r="H21" s="134" t="s">
        <v>59</v>
      </c>
      <c r="I21" s="135">
        <v>43705</v>
      </c>
      <c r="J21" s="136">
        <v>1308.8</v>
      </c>
      <c r="K21" s="136">
        <f t="shared" si="27"/>
        <v>296.27</v>
      </c>
      <c r="L21" s="137">
        <v>1012.53</v>
      </c>
      <c r="M21" s="138">
        <f t="shared" si="1"/>
        <v>1012.53</v>
      </c>
      <c r="N21" s="139" t="s">
        <v>104</v>
      </c>
      <c r="O21" s="133" t="s">
        <v>107</v>
      </c>
      <c r="P21" s="134" t="s">
        <v>110</v>
      </c>
      <c r="Q21" s="140" t="s">
        <v>8</v>
      </c>
      <c r="R21" s="138"/>
      <c r="S21" s="141">
        <v>14884220</v>
      </c>
      <c r="T21" s="141">
        <f t="shared" si="28"/>
        <v>15070719276.6</v>
      </c>
      <c r="U21" s="151">
        <f t="shared" si="29"/>
        <v>0</v>
      </c>
      <c r="V21" s="141">
        <f t="shared" si="30"/>
        <v>0</v>
      </c>
      <c r="W21" s="141">
        <f t="shared" si="36"/>
        <v>0</v>
      </c>
      <c r="X21" s="141">
        <f t="shared" si="31"/>
        <v>0</v>
      </c>
      <c r="Y21" s="141">
        <f>IF(OR(R21="Điền sản",R21=""),0,Z21/M21)</f>
        <v>0</v>
      </c>
      <c r="Z21" s="141">
        <f t="shared" si="2"/>
        <v>0</v>
      </c>
      <c r="AA21" s="141">
        <f t="shared" si="32"/>
        <v>0</v>
      </c>
      <c r="AB21" s="141">
        <f t="shared" si="3"/>
        <v>0</v>
      </c>
      <c r="AC21" s="142" t="s">
        <v>18</v>
      </c>
      <c r="AE21" s="145">
        <f t="shared" si="4"/>
        <v>13896594.941977028</v>
      </c>
      <c r="AF21" s="146">
        <f t="shared" si="33"/>
        <v>14070719276.6</v>
      </c>
      <c r="AG21" s="145">
        <f t="shared" si="5"/>
        <v>0</v>
      </c>
      <c r="AH21" s="146">
        <f t="shared" si="6"/>
        <v>0</v>
      </c>
      <c r="AI21" s="145">
        <f t="shared" si="7"/>
        <v>0</v>
      </c>
      <c r="AJ21" s="146">
        <f t="shared" si="8"/>
        <v>0</v>
      </c>
      <c r="AK21" s="145">
        <f t="shared" si="9"/>
        <v>13501544.91876784</v>
      </c>
      <c r="AL21" s="146">
        <f t="shared" si="10"/>
        <v>13670719276.6</v>
      </c>
      <c r="AM21" s="145">
        <f t="shared" si="11"/>
        <v>0</v>
      </c>
      <c r="AN21" s="146">
        <f t="shared" si="12"/>
        <v>0</v>
      </c>
      <c r="AO21" s="145">
        <f t="shared" si="13"/>
        <v>0</v>
      </c>
      <c r="AP21" s="146">
        <f t="shared" si="14"/>
        <v>0</v>
      </c>
      <c r="AQ21" s="145">
        <f t="shared" si="15"/>
        <v>13304019.907163246</v>
      </c>
      <c r="AR21" s="146">
        <f t="shared" si="16"/>
        <v>13470719276.6</v>
      </c>
      <c r="AS21" s="145">
        <f t="shared" si="17"/>
        <v>0</v>
      </c>
      <c r="AT21" s="146">
        <f t="shared" si="18"/>
        <v>0</v>
      </c>
      <c r="AU21" s="145">
        <f t="shared" si="19"/>
        <v>0</v>
      </c>
      <c r="AV21" s="146">
        <f t="shared" si="20"/>
        <v>0</v>
      </c>
      <c r="AW21" s="145">
        <f t="shared" si="21"/>
        <v>13106494.895558652</v>
      </c>
      <c r="AX21" s="146">
        <f t="shared" si="34"/>
        <v>13270719276.6</v>
      </c>
      <c r="AY21" s="145">
        <f t="shared" si="22"/>
        <v>0</v>
      </c>
      <c r="AZ21" s="146">
        <f t="shared" si="23"/>
        <v>0</v>
      </c>
      <c r="BA21" s="145">
        <f t="shared" si="24"/>
        <v>0</v>
      </c>
      <c r="BB21" s="146">
        <f t="shared" si="25"/>
        <v>0</v>
      </c>
    </row>
    <row r="22" spans="1:54" ht="15.75" customHeight="1">
      <c r="A22" s="130">
        <f t="shared" si="35"/>
        <v>17</v>
      </c>
      <c r="B22" s="131" t="s">
        <v>19</v>
      </c>
      <c r="C22" s="132">
        <v>23</v>
      </c>
      <c r="D22" s="133" t="str">
        <f t="shared" si="26"/>
        <v>A.23</v>
      </c>
      <c r="E22" s="134" t="s">
        <v>60</v>
      </c>
      <c r="F22" s="134">
        <v>724</v>
      </c>
      <c r="G22" s="134">
        <v>9</v>
      </c>
      <c r="H22" s="134" t="s">
        <v>61</v>
      </c>
      <c r="I22" s="135">
        <v>43705</v>
      </c>
      <c r="J22" s="136">
        <v>1010.8</v>
      </c>
      <c r="K22" s="136">
        <f t="shared" si="27"/>
        <v>467.18999999999994</v>
      </c>
      <c r="L22" s="137">
        <v>543.61</v>
      </c>
      <c r="M22" s="138">
        <f t="shared" si="1"/>
        <v>543.61</v>
      </c>
      <c r="N22" s="139" t="s">
        <v>102</v>
      </c>
      <c r="O22" s="133" t="s">
        <v>107</v>
      </c>
      <c r="P22" s="134" t="s">
        <v>110</v>
      </c>
      <c r="Q22" s="140" t="s">
        <v>8</v>
      </c>
      <c r="R22" s="138" t="s">
        <v>124</v>
      </c>
      <c r="S22" s="141">
        <v>14643180</v>
      </c>
      <c r="T22" s="141">
        <f t="shared" si="28"/>
        <v>7960179079.8000002</v>
      </c>
      <c r="U22" s="151">
        <f t="shared" si="29"/>
        <v>491</v>
      </c>
      <c r="V22" s="141">
        <f t="shared" si="30"/>
        <v>10300000</v>
      </c>
      <c r="W22" s="141">
        <f t="shared" si="36"/>
        <v>5057300000</v>
      </c>
      <c r="X22" s="141">
        <f t="shared" si="31"/>
        <v>5563030000</v>
      </c>
      <c r="Y22" s="141">
        <f>IF(OR(R22="Điền sản",R22=""),0,Z22/M22)</f>
        <v>23946356.909917034</v>
      </c>
      <c r="Z22" s="141">
        <f t="shared" si="2"/>
        <v>13017479079.799999</v>
      </c>
      <c r="AA22" s="141">
        <f t="shared" si="32"/>
        <v>24876674.600908738</v>
      </c>
      <c r="AB22" s="141">
        <f t="shared" si="3"/>
        <v>13523209079.799999</v>
      </c>
      <c r="AC22" s="142" t="s">
        <v>18</v>
      </c>
      <c r="AE22" s="145">
        <f t="shared" si="4"/>
        <v>12803625.907911923</v>
      </c>
      <c r="AF22" s="146">
        <f t="shared" si="33"/>
        <v>6960179079.8000002</v>
      </c>
      <c r="AG22" s="145">
        <f t="shared" si="5"/>
        <v>22106802.817828957</v>
      </c>
      <c r="AH22" s="146">
        <f t="shared" si="6"/>
        <v>12017479079.799999</v>
      </c>
      <c r="AI22" s="145">
        <f t="shared" si="7"/>
        <v>23037120.50882066</v>
      </c>
      <c r="AJ22" s="146">
        <f t="shared" si="8"/>
        <v>12523209079.799999</v>
      </c>
      <c r="AK22" s="145">
        <f t="shared" si="9"/>
        <v>12067804.27107669</v>
      </c>
      <c r="AL22" s="146">
        <f t="shared" si="10"/>
        <v>6560179079.8000002</v>
      </c>
      <c r="AM22" s="145">
        <f t="shared" si="11"/>
        <v>21370981.180993725</v>
      </c>
      <c r="AN22" s="146">
        <f t="shared" si="12"/>
        <v>11617479079.799999</v>
      </c>
      <c r="AO22" s="145">
        <f t="shared" si="13"/>
        <v>22301298.871985428</v>
      </c>
      <c r="AP22" s="146">
        <f t="shared" si="14"/>
        <v>12123209079.799999</v>
      </c>
      <c r="AQ22" s="145">
        <f t="shared" si="15"/>
        <v>11699893.452659076</v>
      </c>
      <c r="AR22" s="146">
        <f t="shared" si="16"/>
        <v>6360179079.8000002</v>
      </c>
      <c r="AS22" s="145">
        <f t="shared" si="17"/>
        <v>21003070.362576108</v>
      </c>
      <c r="AT22" s="146">
        <f t="shared" si="18"/>
        <v>11417479079.799999</v>
      </c>
      <c r="AU22" s="145">
        <f t="shared" si="19"/>
        <v>21933388.053567812</v>
      </c>
      <c r="AV22" s="146">
        <f t="shared" si="20"/>
        <v>11923209079.799999</v>
      </c>
      <c r="AW22" s="145">
        <f t="shared" si="21"/>
        <v>11331982.63424146</v>
      </c>
      <c r="AX22" s="146">
        <f t="shared" si="34"/>
        <v>6160179079.8000002</v>
      </c>
      <c r="AY22" s="145">
        <f t="shared" si="22"/>
        <v>20635159.544158492</v>
      </c>
      <c r="AZ22" s="146">
        <f t="shared" si="23"/>
        <v>11217479079.799999</v>
      </c>
      <c r="BA22" s="145">
        <f t="shared" si="24"/>
        <v>21565477.235150199</v>
      </c>
      <c r="BB22" s="146">
        <f t="shared" si="25"/>
        <v>11723209079.799999</v>
      </c>
    </row>
    <row r="23" spans="1:54" ht="15.75" customHeight="1">
      <c r="A23" s="130">
        <f t="shared" si="35"/>
        <v>18</v>
      </c>
      <c r="B23" s="131" t="s">
        <v>19</v>
      </c>
      <c r="C23" s="132">
        <v>24</v>
      </c>
      <c r="D23" s="133" t="str">
        <f t="shared" si="26"/>
        <v>A.24</v>
      </c>
      <c r="E23" s="134" t="s">
        <v>62</v>
      </c>
      <c r="F23" s="134">
        <v>725</v>
      </c>
      <c r="G23" s="134">
        <v>9</v>
      </c>
      <c r="H23" s="134" t="s">
        <v>63</v>
      </c>
      <c r="I23" s="135">
        <v>43705</v>
      </c>
      <c r="J23" s="136">
        <v>1367.7</v>
      </c>
      <c r="K23" s="136">
        <f t="shared" si="27"/>
        <v>160.41000000000008</v>
      </c>
      <c r="L23" s="137">
        <v>1207.29</v>
      </c>
      <c r="M23" s="138">
        <f t="shared" si="1"/>
        <v>1207.29</v>
      </c>
      <c r="N23" s="139" t="s">
        <v>102</v>
      </c>
      <c r="O23" s="133" t="s">
        <v>107</v>
      </c>
      <c r="P23" s="134" t="s">
        <v>109</v>
      </c>
      <c r="Q23" s="140" t="s">
        <v>5</v>
      </c>
      <c r="R23" s="138" t="s">
        <v>124</v>
      </c>
      <c r="S23" s="141">
        <v>14221360.000000002</v>
      </c>
      <c r="T23" s="141">
        <f t="shared" si="28"/>
        <v>17169305714.400002</v>
      </c>
      <c r="U23" s="151">
        <f t="shared" si="29"/>
        <v>491</v>
      </c>
      <c r="V23" s="141">
        <f t="shared" si="30"/>
        <v>10300000</v>
      </c>
      <c r="W23" s="141">
        <f t="shared" si="36"/>
        <v>5057300000</v>
      </c>
      <c r="X23" s="141">
        <f t="shared" si="31"/>
        <v>5563030000</v>
      </c>
      <c r="Y23" s="141">
        <f>IF(OR(R23="Điền sản",R23=""),0,Z23/M23)</f>
        <v>18410328.681923982</v>
      </c>
      <c r="Z23" s="141">
        <f t="shared" si="2"/>
        <v>22226605714.400002</v>
      </c>
      <c r="AA23" s="141">
        <f t="shared" si="32"/>
        <v>18829225.550116379</v>
      </c>
      <c r="AB23" s="141">
        <f t="shared" si="3"/>
        <v>22732335714.400002</v>
      </c>
      <c r="AC23" s="142" t="s">
        <v>18</v>
      </c>
      <c r="AE23" s="145">
        <f t="shared" si="4"/>
        <v>13393058.597685728</v>
      </c>
      <c r="AF23" s="146">
        <f t="shared" si="33"/>
        <v>16169305714.400002</v>
      </c>
      <c r="AG23" s="145">
        <f t="shared" si="5"/>
        <v>17582027.279609706</v>
      </c>
      <c r="AH23" s="146">
        <f t="shared" si="6"/>
        <v>21226605714.400002</v>
      </c>
      <c r="AI23" s="145">
        <f t="shared" si="7"/>
        <v>18000924.147802103</v>
      </c>
      <c r="AJ23" s="146">
        <f t="shared" si="8"/>
        <v>21732335714.400002</v>
      </c>
      <c r="AK23" s="145">
        <f t="shared" si="9"/>
        <v>13061738.036760017</v>
      </c>
      <c r="AL23" s="146">
        <f t="shared" si="10"/>
        <v>15769305714.400002</v>
      </c>
      <c r="AM23" s="145">
        <f t="shared" si="11"/>
        <v>17250706.718683995</v>
      </c>
      <c r="AN23" s="146">
        <f t="shared" si="12"/>
        <v>20826605714.400002</v>
      </c>
      <c r="AO23" s="145">
        <f t="shared" si="13"/>
        <v>17669603.586876396</v>
      </c>
      <c r="AP23" s="146">
        <f t="shared" si="14"/>
        <v>21332335714.400002</v>
      </c>
      <c r="AQ23" s="145">
        <f t="shared" si="15"/>
        <v>12896077.756297164</v>
      </c>
      <c r="AR23" s="146">
        <f t="shared" si="16"/>
        <v>15569305714.400002</v>
      </c>
      <c r="AS23" s="145">
        <f t="shared" si="17"/>
        <v>17085046.438221142</v>
      </c>
      <c r="AT23" s="146">
        <f t="shared" si="18"/>
        <v>20626605714.400002</v>
      </c>
      <c r="AU23" s="145">
        <f t="shared" si="19"/>
        <v>17503943.306413539</v>
      </c>
      <c r="AV23" s="146">
        <f t="shared" si="20"/>
        <v>21132335714.400002</v>
      </c>
      <c r="AW23" s="145">
        <f t="shared" si="21"/>
        <v>12730417.475834308</v>
      </c>
      <c r="AX23" s="146">
        <f t="shared" si="34"/>
        <v>15369305714.400002</v>
      </c>
      <c r="AY23" s="145">
        <f t="shared" si="22"/>
        <v>16919386.157758288</v>
      </c>
      <c r="AZ23" s="146">
        <f t="shared" si="23"/>
        <v>20426605714.400002</v>
      </c>
      <c r="BA23" s="145">
        <f t="shared" si="24"/>
        <v>17338283.025950685</v>
      </c>
      <c r="BB23" s="146">
        <f t="shared" si="25"/>
        <v>20932335714.400002</v>
      </c>
    </row>
    <row r="24" spans="1:54" ht="15.75" customHeight="1">
      <c r="A24" s="130">
        <f t="shared" si="35"/>
        <v>19</v>
      </c>
      <c r="B24" s="133" t="s">
        <v>20</v>
      </c>
      <c r="C24" s="143">
        <v>4</v>
      </c>
      <c r="D24" s="133" t="str">
        <f t="shared" si="26"/>
        <v>B.4</v>
      </c>
      <c r="E24" s="134" t="s">
        <v>64</v>
      </c>
      <c r="F24" s="134">
        <v>693</v>
      </c>
      <c r="G24" s="134">
        <v>9</v>
      </c>
      <c r="H24" s="134" t="s">
        <v>65</v>
      </c>
      <c r="I24" s="135">
        <v>43692</v>
      </c>
      <c r="J24" s="136">
        <v>1029.7</v>
      </c>
      <c r="K24" s="136">
        <f t="shared" si="27"/>
        <v>136.87</v>
      </c>
      <c r="L24" s="137">
        <v>892.83</v>
      </c>
      <c r="M24" s="138">
        <f t="shared" si="1"/>
        <v>892.83</v>
      </c>
      <c r="N24" s="139" t="s">
        <v>108</v>
      </c>
      <c r="O24" s="134" t="s">
        <v>127</v>
      </c>
      <c r="P24" s="134" t="s">
        <v>109</v>
      </c>
      <c r="Q24" s="140" t="s">
        <v>7</v>
      </c>
      <c r="R24" s="138" t="s">
        <v>124</v>
      </c>
      <c r="S24" s="141">
        <v>12775120</v>
      </c>
      <c r="T24" s="141">
        <f t="shared" si="28"/>
        <v>11406010389.6</v>
      </c>
      <c r="U24" s="151">
        <f t="shared" si="29"/>
        <v>491</v>
      </c>
      <c r="V24" s="141">
        <f t="shared" si="30"/>
        <v>10300000</v>
      </c>
      <c r="W24" s="141">
        <f t="shared" si="36"/>
        <v>5057300000</v>
      </c>
      <c r="X24" s="141">
        <f t="shared" si="31"/>
        <v>5563030000</v>
      </c>
      <c r="Y24" s="141">
        <f t="shared" ref="Y24" si="38">IF(OR(R24="Điền sản",R24=""),0,Z24/M24)</f>
        <v>18439468.196185164</v>
      </c>
      <c r="Z24" s="141">
        <f t="shared" si="2"/>
        <v>16463310389.6</v>
      </c>
      <c r="AA24" s="141">
        <f t="shared" si="32"/>
        <v>19005903.01580368</v>
      </c>
      <c r="AB24" s="141">
        <f t="shared" si="3"/>
        <v>16969040389.6</v>
      </c>
      <c r="AC24" s="142" t="s">
        <v>18</v>
      </c>
      <c r="AE24" s="145">
        <f t="shared" si="4"/>
        <v>11655085.950964909</v>
      </c>
      <c r="AF24" s="146">
        <f t="shared" si="33"/>
        <v>10406010389.6</v>
      </c>
      <c r="AG24" s="145">
        <f t="shared" si="5"/>
        <v>17319434.147150073</v>
      </c>
      <c r="AH24" s="146">
        <f t="shared" si="6"/>
        <v>15463310389.6</v>
      </c>
      <c r="AI24" s="145">
        <f t="shared" si="7"/>
        <v>17885868.966768589</v>
      </c>
      <c r="AJ24" s="146">
        <f t="shared" si="8"/>
        <v>15969040389.6</v>
      </c>
      <c r="AK24" s="145">
        <f t="shared" si="9"/>
        <v>11207072.331350872</v>
      </c>
      <c r="AL24" s="146">
        <f t="shared" si="10"/>
        <v>10006010389.6</v>
      </c>
      <c r="AM24" s="145">
        <f t="shared" si="11"/>
        <v>16871420.527536038</v>
      </c>
      <c r="AN24" s="146">
        <f t="shared" si="12"/>
        <v>15063310389.6</v>
      </c>
      <c r="AO24" s="145">
        <f t="shared" si="13"/>
        <v>17437855.347154554</v>
      </c>
      <c r="AP24" s="146">
        <f t="shared" si="14"/>
        <v>15569040389.6</v>
      </c>
      <c r="AQ24" s="145">
        <f t="shared" si="15"/>
        <v>10983065.521543855</v>
      </c>
      <c r="AR24" s="146">
        <f t="shared" si="16"/>
        <v>9806010389.6000004</v>
      </c>
      <c r="AS24" s="145">
        <f t="shared" si="17"/>
        <v>16647413.717729019</v>
      </c>
      <c r="AT24" s="146">
        <f t="shared" si="18"/>
        <v>14863310389.6</v>
      </c>
      <c r="AU24" s="145">
        <f t="shared" si="19"/>
        <v>17213848.537347537</v>
      </c>
      <c r="AV24" s="146">
        <f t="shared" si="20"/>
        <v>15369040389.6</v>
      </c>
      <c r="AW24" s="145">
        <f t="shared" si="21"/>
        <v>10759058.711736837</v>
      </c>
      <c r="AX24" s="146">
        <f t="shared" si="34"/>
        <v>9606010389.6000004</v>
      </c>
      <c r="AY24" s="145">
        <f t="shared" si="22"/>
        <v>16423406.907922</v>
      </c>
      <c r="AZ24" s="146">
        <f t="shared" si="23"/>
        <v>14663310389.6</v>
      </c>
      <c r="BA24" s="145">
        <f t="shared" si="24"/>
        <v>16989841.727540515</v>
      </c>
      <c r="BB24" s="146">
        <f t="shared" si="25"/>
        <v>15169040389.6</v>
      </c>
    </row>
    <row r="25" spans="1:54" ht="15.75" customHeight="1">
      <c r="A25" s="130">
        <f t="shared" si="35"/>
        <v>20</v>
      </c>
      <c r="B25" s="133" t="s">
        <v>20</v>
      </c>
      <c r="C25" s="143">
        <v>5</v>
      </c>
      <c r="D25" s="133" t="str">
        <f t="shared" si="26"/>
        <v>B.5</v>
      </c>
      <c r="E25" s="134" t="s">
        <v>66</v>
      </c>
      <c r="F25" s="134">
        <v>703</v>
      </c>
      <c r="G25" s="134">
        <v>9</v>
      </c>
      <c r="H25" s="134" t="s">
        <v>67</v>
      </c>
      <c r="I25" s="135">
        <v>43705</v>
      </c>
      <c r="J25" s="136">
        <v>1025.4000000000001</v>
      </c>
      <c r="K25" s="136">
        <f t="shared" si="27"/>
        <v>196.90000000000009</v>
      </c>
      <c r="L25" s="137">
        <f>830.43-1.93</f>
        <v>828.5</v>
      </c>
      <c r="M25" s="138">
        <f t="shared" si="1"/>
        <v>828.5</v>
      </c>
      <c r="N25" s="139" t="s">
        <v>108</v>
      </c>
      <c r="O25" s="134" t="s">
        <v>127</v>
      </c>
      <c r="P25" s="134" t="s">
        <v>109</v>
      </c>
      <c r="Q25" s="140" t="s">
        <v>7</v>
      </c>
      <c r="R25" s="138" t="s">
        <v>126</v>
      </c>
      <c r="S25" s="141">
        <v>12775120</v>
      </c>
      <c r="T25" s="141">
        <f t="shared" si="28"/>
        <v>10584186920</v>
      </c>
      <c r="U25" s="151">
        <f t="shared" si="29"/>
        <v>0</v>
      </c>
      <c r="V25" s="141">
        <f t="shared" si="30"/>
        <v>0</v>
      </c>
      <c r="W25" s="141">
        <f t="shared" si="36"/>
        <v>0</v>
      </c>
      <c r="X25" s="141">
        <f t="shared" si="31"/>
        <v>0</v>
      </c>
      <c r="Y25" s="141">
        <f>IF(OR(R25="Điền sản",R25=""),0,Z25/M25)</f>
        <v>0</v>
      </c>
      <c r="Z25" s="141">
        <f t="shared" si="2"/>
        <v>0</v>
      </c>
      <c r="AA25" s="141">
        <f t="shared" si="32"/>
        <v>0</v>
      </c>
      <c r="AB25" s="141">
        <f t="shared" si="3"/>
        <v>0</v>
      </c>
      <c r="AC25" s="142" t="s">
        <v>18</v>
      </c>
      <c r="AE25" s="145">
        <f t="shared" si="4"/>
        <v>11568119.396499699</v>
      </c>
      <c r="AF25" s="146">
        <f t="shared" si="33"/>
        <v>9584186920</v>
      </c>
      <c r="AG25" s="145">
        <f t="shared" si="5"/>
        <v>0</v>
      </c>
      <c r="AH25" s="146">
        <f t="shared" si="6"/>
        <v>0</v>
      </c>
      <c r="AI25" s="145">
        <f t="shared" si="7"/>
        <v>0</v>
      </c>
      <c r="AJ25" s="146">
        <f t="shared" si="8"/>
        <v>0</v>
      </c>
      <c r="AK25" s="145">
        <f t="shared" si="9"/>
        <v>11085319.155099578</v>
      </c>
      <c r="AL25" s="146">
        <f t="shared" si="10"/>
        <v>9184186920</v>
      </c>
      <c r="AM25" s="145">
        <f t="shared" si="11"/>
        <v>0</v>
      </c>
      <c r="AN25" s="146">
        <f t="shared" si="12"/>
        <v>0</v>
      </c>
      <c r="AO25" s="145">
        <f t="shared" si="13"/>
        <v>0</v>
      </c>
      <c r="AP25" s="146">
        <f t="shared" si="14"/>
        <v>0</v>
      </c>
      <c r="AQ25" s="145">
        <f t="shared" si="15"/>
        <v>10843919.034399517</v>
      </c>
      <c r="AR25" s="146">
        <f t="shared" si="16"/>
        <v>8984186920</v>
      </c>
      <c r="AS25" s="145">
        <f t="shared" si="17"/>
        <v>0</v>
      </c>
      <c r="AT25" s="146">
        <f t="shared" si="18"/>
        <v>0</v>
      </c>
      <c r="AU25" s="145">
        <f t="shared" si="19"/>
        <v>0</v>
      </c>
      <c r="AV25" s="146">
        <f t="shared" si="20"/>
        <v>0</v>
      </c>
      <c r="AW25" s="145">
        <f t="shared" si="21"/>
        <v>10602518.913699457</v>
      </c>
      <c r="AX25" s="146">
        <f t="shared" si="34"/>
        <v>8784186920</v>
      </c>
      <c r="AY25" s="145">
        <f t="shared" si="22"/>
        <v>0</v>
      </c>
      <c r="AZ25" s="146">
        <f t="shared" si="23"/>
        <v>0</v>
      </c>
      <c r="BA25" s="145">
        <f t="shared" si="24"/>
        <v>0</v>
      </c>
      <c r="BB25" s="146">
        <f t="shared" si="25"/>
        <v>0</v>
      </c>
    </row>
    <row r="26" spans="1:54" ht="15.75" customHeight="1">
      <c r="A26" s="130">
        <f t="shared" si="35"/>
        <v>21</v>
      </c>
      <c r="B26" s="133" t="s">
        <v>20</v>
      </c>
      <c r="C26" s="143">
        <v>6</v>
      </c>
      <c r="D26" s="133" t="str">
        <f t="shared" si="26"/>
        <v>B.6</v>
      </c>
      <c r="E26" s="134" t="s">
        <v>68</v>
      </c>
      <c r="F26" s="134">
        <v>704</v>
      </c>
      <c r="G26" s="134">
        <v>9</v>
      </c>
      <c r="H26" s="134" t="s">
        <v>69</v>
      </c>
      <c r="I26" s="135">
        <v>43705</v>
      </c>
      <c r="J26" s="136">
        <v>1103.7</v>
      </c>
      <c r="K26" s="136">
        <f t="shared" si="27"/>
        <v>144.5</v>
      </c>
      <c r="L26" s="137">
        <v>959.2</v>
      </c>
      <c r="M26" s="138">
        <f t="shared" si="1"/>
        <v>959.2</v>
      </c>
      <c r="N26" s="139" t="s">
        <v>104</v>
      </c>
      <c r="O26" s="134" t="s">
        <v>119</v>
      </c>
      <c r="P26" s="134" t="s">
        <v>110</v>
      </c>
      <c r="Q26" s="140" t="s">
        <v>7</v>
      </c>
      <c r="R26" s="138" t="s">
        <v>124</v>
      </c>
      <c r="S26" s="141">
        <v>12172520</v>
      </c>
      <c r="T26" s="141">
        <f t="shared" si="28"/>
        <v>11675881184</v>
      </c>
      <c r="U26" s="151">
        <f t="shared" si="29"/>
        <v>491</v>
      </c>
      <c r="V26" s="141">
        <f t="shared" si="30"/>
        <v>10300000</v>
      </c>
      <c r="W26" s="141">
        <f t="shared" si="36"/>
        <v>5057300000</v>
      </c>
      <c r="X26" s="141">
        <f t="shared" si="31"/>
        <v>5563030000</v>
      </c>
      <c r="Y26" s="141">
        <f>IF(OR(R26="Điền sản",R26=""),0,Z26/M26)</f>
        <v>17444934.51209341</v>
      </c>
      <c r="Z26" s="141">
        <f t="shared" si="2"/>
        <v>16733181184</v>
      </c>
      <c r="AA26" s="141">
        <f t="shared" si="32"/>
        <v>17972175.96330275</v>
      </c>
      <c r="AB26" s="141">
        <f t="shared" si="3"/>
        <v>17238911184</v>
      </c>
      <c r="AC26" s="142" t="s">
        <v>18</v>
      </c>
      <c r="AE26" s="145">
        <f t="shared" si="4"/>
        <v>11129984.553794829</v>
      </c>
      <c r="AF26" s="146">
        <f t="shared" si="33"/>
        <v>10675881184</v>
      </c>
      <c r="AG26" s="145">
        <f t="shared" si="5"/>
        <v>16402399.065888239</v>
      </c>
      <c r="AH26" s="146">
        <f t="shared" si="6"/>
        <v>15733181184</v>
      </c>
      <c r="AI26" s="145">
        <f t="shared" si="7"/>
        <v>16929640.517097581</v>
      </c>
      <c r="AJ26" s="146">
        <f t="shared" si="8"/>
        <v>16238911184</v>
      </c>
      <c r="AK26" s="145">
        <f t="shared" si="9"/>
        <v>10712970.37531276</v>
      </c>
      <c r="AL26" s="146">
        <f t="shared" si="10"/>
        <v>10275881184</v>
      </c>
      <c r="AM26" s="145">
        <f t="shared" si="11"/>
        <v>15985384.88740617</v>
      </c>
      <c r="AN26" s="146">
        <f t="shared" si="12"/>
        <v>15333181184</v>
      </c>
      <c r="AO26" s="145">
        <f t="shared" si="13"/>
        <v>16512626.338615512</v>
      </c>
      <c r="AP26" s="146">
        <f t="shared" si="14"/>
        <v>15838911184</v>
      </c>
      <c r="AQ26" s="145">
        <f t="shared" si="15"/>
        <v>10504463.286071725</v>
      </c>
      <c r="AR26" s="146">
        <f t="shared" si="16"/>
        <v>10075881184</v>
      </c>
      <c r="AS26" s="145">
        <f t="shared" si="17"/>
        <v>15776877.798165137</v>
      </c>
      <c r="AT26" s="146">
        <f t="shared" si="18"/>
        <v>15133181184</v>
      </c>
      <c r="AU26" s="145">
        <f t="shared" si="19"/>
        <v>16304119.249374477</v>
      </c>
      <c r="AV26" s="146">
        <f t="shared" si="20"/>
        <v>15638911184</v>
      </c>
      <c r="AW26" s="145">
        <f t="shared" si="21"/>
        <v>10295956.196830692</v>
      </c>
      <c r="AX26" s="146">
        <f t="shared" si="34"/>
        <v>9875881184</v>
      </c>
      <c r="AY26" s="145">
        <f t="shared" si="22"/>
        <v>15568370.708924104</v>
      </c>
      <c r="AZ26" s="146">
        <f t="shared" si="23"/>
        <v>14933181184</v>
      </c>
      <c r="BA26" s="145">
        <f t="shared" si="24"/>
        <v>16095612.160133444</v>
      </c>
      <c r="BB26" s="146">
        <f t="shared" si="25"/>
        <v>15438911184</v>
      </c>
    </row>
    <row r="27" spans="1:54" ht="15.75" customHeight="1">
      <c r="A27" s="130">
        <f t="shared" si="35"/>
        <v>22</v>
      </c>
      <c r="B27" s="133" t="s">
        <v>20</v>
      </c>
      <c r="C27" s="143">
        <v>7</v>
      </c>
      <c r="D27" s="133" t="str">
        <f t="shared" si="26"/>
        <v>B.7</v>
      </c>
      <c r="E27" s="134" t="s">
        <v>70</v>
      </c>
      <c r="F27" s="134">
        <v>708</v>
      </c>
      <c r="G27" s="134">
        <v>9</v>
      </c>
      <c r="H27" s="134" t="s">
        <v>71</v>
      </c>
      <c r="I27" s="135">
        <v>43705</v>
      </c>
      <c r="J27" s="136">
        <v>1160.0999999999999</v>
      </c>
      <c r="K27" s="136">
        <f t="shared" si="27"/>
        <v>363.96999999999991</v>
      </c>
      <c r="L27" s="137">
        <v>796.13</v>
      </c>
      <c r="M27" s="138">
        <f t="shared" si="1"/>
        <v>796.13</v>
      </c>
      <c r="N27" s="139" t="s">
        <v>105</v>
      </c>
      <c r="O27" s="134" t="s">
        <v>119</v>
      </c>
      <c r="P27" s="134" t="s">
        <v>109</v>
      </c>
      <c r="Q27" s="140" t="s">
        <v>6</v>
      </c>
      <c r="R27" s="138" t="s">
        <v>124</v>
      </c>
      <c r="S27" s="141">
        <v>12835380</v>
      </c>
      <c r="T27" s="141">
        <f t="shared" si="28"/>
        <v>10218631079.4</v>
      </c>
      <c r="U27" s="151">
        <f t="shared" si="29"/>
        <v>491</v>
      </c>
      <c r="V27" s="141">
        <f t="shared" si="30"/>
        <v>10300000</v>
      </c>
      <c r="W27" s="141">
        <f t="shared" si="36"/>
        <v>5057300000</v>
      </c>
      <c r="X27" s="141">
        <f t="shared" si="31"/>
        <v>5563030000</v>
      </c>
      <c r="Y27" s="141">
        <f>IF(OR(R27="Điền sản",R27=""),0,Z27/M27)</f>
        <v>19187734.514966149</v>
      </c>
      <c r="Z27" s="141">
        <f t="shared" si="2"/>
        <v>15275931079.4</v>
      </c>
      <c r="AA27" s="141">
        <f t="shared" si="32"/>
        <v>19822969.966462765</v>
      </c>
      <c r="AB27" s="141">
        <f t="shared" si="3"/>
        <v>15781661079.4</v>
      </c>
      <c r="AC27" s="142" t="s">
        <v>18</v>
      </c>
      <c r="AE27" s="145">
        <f t="shared" si="4"/>
        <v>11579303.731048949</v>
      </c>
      <c r="AF27" s="146">
        <f t="shared" si="33"/>
        <v>9218631079.3999996</v>
      </c>
      <c r="AG27" s="145">
        <f t="shared" si="5"/>
        <v>17931658.246015098</v>
      </c>
      <c r="AH27" s="146">
        <f t="shared" si="6"/>
        <v>14275931079.4</v>
      </c>
      <c r="AI27" s="145">
        <f t="shared" si="7"/>
        <v>18566893.697511714</v>
      </c>
      <c r="AJ27" s="146">
        <f t="shared" si="8"/>
        <v>14781661079.4</v>
      </c>
      <c r="AK27" s="145">
        <f t="shared" si="9"/>
        <v>11076873.223468529</v>
      </c>
      <c r="AL27" s="146">
        <f t="shared" si="10"/>
        <v>8818631079.3999996</v>
      </c>
      <c r="AM27" s="145">
        <f t="shared" si="11"/>
        <v>17429227.738434676</v>
      </c>
      <c r="AN27" s="146">
        <f t="shared" si="12"/>
        <v>13875931079.4</v>
      </c>
      <c r="AO27" s="145">
        <f t="shared" si="13"/>
        <v>18064463.189931292</v>
      </c>
      <c r="AP27" s="146">
        <f t="shared" si="14"/>
        <v>14381661079.4</v>
      </c>
      <c r="AQ27" s="145">
        <f t="shared" si="15"/>
        <v>10825657.969678318</v>
      </c>
      <c r="AR27" s="146">
        <f t="shared" si="16"/>
        <v>8618631079.3999996</v>
      </c>
      <c r="AS27" s="145">
        <f t="shared" si="17"/>
        <v>17178012.484644469</v>
      </c>
      <c r="AT27" s="146">
        <f t="shared" si="18"/>
        <v>13675931079.4</v>
      </c>
      <c r="AU27" s="145">
        <f t="shared" si="19"/>
        <v>17813247.936141081</v>
      </c>
      <c r="AV27" s="146">
        <f t="shared" si="20"/>
        <v>14181661079.4</v>
      </c>
      <c r="AW27" s="145">
        <f t="shared" si="21"/>
        <v>10574442.715888109</v>
      </c>
      <c r="AX27" s="146">
        <f t="shared" si="34"/>
        <v>8418631079.3999996</v>
      </c>
      <c r="AY27" s="145">
        <f t="shared" si="22"/>
        <v>16926797.230854258</v>
      </c>
      <c r="AZ27" s="146">
        <f t="shared" si="23"/>
        <v>13475931079.4</v>
      </c>
      <c r="BA27" s="145">
        <f t="shared" si="24"/>
        <v>17562032.68235087</v>
      </c>
      <c r="BB27" s="146">
        <f t="shared" si="25"/>
        <v>13981661079.4</v>
      </c>
    </row>
    <row r="28" spans="1:54" ht="15.75" customHeight="1">
      <c r="A28" s="130">
        <f t="shared" si="35"/>
        <v>23</v>
      </c>
      <c r="B28" s="133" t="s">
        <v>20</v>
      </c>
      <c r="C28" s="143">
        <v>8</v>
      </c>
      <c r="D28" s="133" t="str">
        <f t="shared" si="26"/>
        <v>B.8</v>
      </c>
      <c r="E28" s="134" t="s">
        <v>72</v>
      </c>
      <c r="F28" s="134">
        <v>709</v>
      </c>
      <c r="G28" s="134">
        <v>9</v>
      </c>
      <c r="H28" s="134" t="s">
        <v>73</v>
      </c>
      <c r="I28" s="135">
        <v>43705</v>
      </c>
      <c r="J28" s="136">
        <v>1158.5</v>
      </c>
      <c r="K28" s="136">
        <f t="shared" si="27"/>
        <v>45.009999999999991</v>
      </c>
      <c r="L28" s="137">
        <f>1113.51-0.02</f>
        <v>1113.49</v>
      </c>
      <c r="M28" s="138">
        <f t="shared" si="1"/>
        <v>1113.49</v>
      </c>
      <c r="N28" s="139" t="s">
        <v>104</v>
      </c>
      <c r="O28" s="134" t="s">
        <v>119</v>
      </c>
      <c r="P28" s="134" t="s">
        <v>110</v>
      </c>
      <c r="Q28" s="140" t="s">
        <v>6</v>
      </c>
      <c r="R28" s="138" t="s">
        <v>126</v>
      </c>
      <c r="S28" s="141">
        <v>12112259.999999998</v>
      </c>
      <c r="T28" s="141">
        <f t="shared" si="28"/>
        <v>13486880387.399998</v>
      </c>
      <c r="U28" s="151">
        <f t="shared" si="29"/>
        <v>0</v>
      </c>
      <c r="V28" s="141">
        <f t="shared" si="30"/>
        <v>0</v>
      </c>
      <c r="W28" s="141">
        <f t="shared" si="36"/>
        <v>0</v>
      </c>
      <c r="X28" s="141">
        <f t="shared" si="31"/>
        <v>0</v>
      </c>
      <c r="Y28" s="141">
        <f t="shared" ref="Y28:Y40" si="39">IF(OR(R28="Điền sản",R28=""),0,Z28/M28)</f>
        <v>0</v>
      </c>
      <c r="Z28" s="141">
        <f t="shared" si="2"/>
        <v>0</v>
      </c>
      <c r="AA28" s="141">
        <f t="shared" si="32"/>
        <v>0</v>
      </c>
      <c r="AB28" s="141">
        <f t="shared" si="3"/>
        <v>0</v>
      </c>
      <c r="AC28" s="142" t="s">
        <v>18</v>
      </c>
      <c r="AE28" s="145">
        <f t="shared" si="4"/>
        <v>11214182.783320908</v>
      </c>
      <c r="AF28" s="146">
        <f t="shared" si="33"/>
        <v>12486880387.399998</v>
      </c>
      <c r="AG28" s="145">
        <f t="shared" si="5"/>
        <v>0</v>
      </c>
      <c r="AH28" s="146">
        <f t="shared" si="6"/>
        <v>0</v>
      </c>
      <c r="AI28" s="145">
        <f t="shared" si="7"/>
        <v>0</v>
      </c>
      <c r="AJ28" s="146">
        <f t="shared" si="8"/>
        <v>0</v>
      </c>
      <c r="AK28" s="145">
        <f t="shared" si="9"/>
        <v>10854951.896649271</v>
      </c>
      <c r="AL28" s="146">
        <f t="shared" si="10"/>
        <v>12086880387.399998</v>
      </c>
      <c r="AM28" s="145">
        <f t="shared" si="11"/>
        <v>0</v>
      </c>
      <c r="AN28" s="146">
        <f t="shared" si="12"/>
        <v>0</v>
      </c>
      <c r="AO28" s="145">
        <f t="shared" si="13"/>
        <v>0</v>
      </c>
      <c r="AP28" s="146">
        <f t="shared" si="14"/>
        <v>0</v>
      </c>
      <c r="AQ28" s="145">
        <f t="shared" si="15"/>
        <v>10675336.453313453</v>
      </c>
      <c r="AR28" s="146">
        <f t="shared" si="16"/>
        <v>11886880387.399998</v>
      </c>
      <c r="AS28" s="145">
        <f t="shared" si="17"/>
        <v>0</v>
      </c>
      <c r="AT28" s="146">
        <f t="shared" si="18"/>
        <v>0</v>
      </c>
      <c r="AU28" s="145">
        <f t="shared" si="19"/>
        <v>0</v>
      </c>
      <c r="AV28" s="146">
        <f t="shared" si="20"/>
        <v>0</v>
      </c>
      <c r="AW28" s="145">
        <f t="shared" si="21"/>
        <v>10495721.009977635</v>
      </c>
      <c r="AX28" s="146">
        <f t="shared" si="34"/>
        <v>11686880387.399998</v>
      </c>
      <c r="AY28" s="145">
        <f t="shared" si="22"/>
        <v>0</v>
      </c>
      <c r="AZ28" s="146">
        <f t="shared" si="23"/>
        <v>0</v>
      </c>
      <c r="BA28" s="145">
        <f t="shared" si="24"/>
        <v>0</v>
      </c>
      <c r="BB28" s="146">
        <f t="shared" si="25"/>
        <v>0</v>
      </c>
    </row>
    <row r="29" spans="1:54" ht="15.75" customHeight="1">
      <c r="A29" s="130">
        <f t="shared" si="35"/>
        <v>24</v>
      </c>
      <c r="B29" s="133" t="s">
        <v>20</v>
      </c>
      <c r="C29" s="143">
        <v>9</v>
      </c>
      <c r="D29" s="133" t="str">
        <f t="shared" si="26"/>
        <v>B.9</v>
      </c>
      <c r="E29" s="134" t="s">
        <v>74</v>
      </c>
      <c r="F29" s="134">
        <v>710</v>
      </c>
      <c r="G29" s="134">
        <v>9</v>
      </c>
      <c r="H29" s="134" t="s">
        <v>75</v>
      </c>
      <c r="I29" s="135">
        <v>43705</v>
      </c>
      <c r="J29" s="136">
        <v>1176.2</v>
      </c>
      <c r="K29" s="136">
        <f t="shared" si="27"/>
        <v>49.610000000000127</v>
      </c>
      <c r="L29" s="137">
        <v>1126.5899999999999</v>
      </c>
      <c r="M29" s="138">
        <f t="shared" si="1"/>
        <v>1126.5899999999999</v>
      </c>
      <c r="N29" s="139" t="s">
        <v>104</v>
      </c>
      <c r="O29" s="134" t="s">
        <v>119</v>
      </c>
      <c r="P29" s="134" t="s">
        <v>110</v>
      </c>
      <c r="Q29" s="140" t="s">
        <v>6</v>
      </c>
      <c r="R29" s="138" t="s">
        <v>126</v>
      </c>
      <c r="S29" s="141">
        <v>12052000</v>
      </c>
      <c r="T29" s="141">
        <f t="shared" si="28"/>
        <v>13577662679.999998</v>
      </c>
      <c r="U29" s="151">
        <f t="shared" si="29"/>
        <v>0</v>
      </c>
      <c r="V29" s="141">
        <f t="shared" si="30"/>
        <v>0</v>
      </c>
      <c r="W29" s="141">
        <f t="shared" si="36"/>
        <v>0</v>
      </c>
      <c r="X29" s="141">
        <f t="shared" si="31"/>
        <v>0</v>
      </c>
      <c r="Y29" s="141">
        <f t="shared" si="39"/>
        <v>0</v>
      </c>
      <c r="Z29" s="141">
        <f t="shared" si="2"/>
        <v>0</v>
      </c>
      <c r="AA29" s="141">
        <f t="shared" si="32"/>
        <v>0</v>
      </c>
      <c r="AB29" s="141">
        <f t="shared" si="3"/>
        <v>0</v>
      </c>
      <c r="AC29" s="142" t="s">
        <v>18</v>
      </c>
      <c r="AE29" s="145">
        <f t="shared" si="4"/>
        <v>11164365.634347899</v>
      </c>
      <c r="AF29" s="146">
        <f t="shared" si="33"/>
        <v>12577662679.999998</v>
      </c>
      <c r="AG29" s="145">
        <f t="shared" si="5"/>
        <v>0</v>
      </c>
      <c r="AH29" s="146">
        <f t="shared" si="6"/>
        <v>0</v>
      </c>
      <c r="AI29" s="145">
        <f t="shared" si="7"/>
        <v>0</v>
      </c>
      <c r="AJ29" s="146">
        <f t="shared" si="8"/>
        <v>0</v>
      </c>
      <c r="AK29" s="145">
        <f t="shared" si="9"/>
        <v>10809311.888087058</v>
      </c>
      <c r="AL29" s="146">
        <f t="shared" si="10"/>
        <v>12177662679.999998</v>
      </c>
      <c r="AM29" s="145">
        <f t="shared" si="11"/>
        <v>0</v>
      </c>
      <c r="AN29" s="146">
        <f t="shared" si="12"/>
        <v>0</v>
      </c>
      <c r="AO29" s="145">
        <f t="shared" si="13"/>
        <v>0</v>
      </c>
      <c r="AP29" s="146">
        <f t="shared" si="14"/>
        <v>0</v>
      </c>
      <c r="AQ29" s="145">
        <f t="shared" si="15"/>
        <v>10631785.014956638</v>
      </c>
      <c r="AR29" s="146">
        <f t="shared" si="16"/>
        <v>11977662679.999998</v>
      </c>
      <c r="AS29" s="145">
        <f t="shared" si="17"/>
        <v>0</v>
      </c>
      <c r="AT29" s="146">
        <f t="shared" si="18"/>
        <v>0</v>
      </c>
      <c r="AU29" s="145">
        <f t="shared" si="19"/>
        <v>0</v>
      </c>
      <c r="AV29" s="146">
        <f t="shared" si="20"/>
        <v>0</v>
      </c>
      <c r="AW29" s="145">
        <f t="shared" si="21"/>
        <v>10454258.141826218</v>
      </c>
      <c r="AX29" s="146">
        <f t="shared" si="34"/>
        <v>11777662679.999998</v>
      </c>
      <c r="AY29" s="145">
        <f t="shared" si="22"/>
        <v>0</v>
      </c>
      <c r="AZ29" s="146">
        <f t="shared" si="23"/>
        <v>0</v>
      </c>
      <c r="BA29" s="145">
        <f t="shared" si="24"/>
        <v>0</v>
      </c>
      <c r="BB29" s="146">
        <f t="shared" si="25"/>
        <v>0</v>
      </c>
    </row>
    <row r="30" spans="1:54" ht="15.75" customHeight="1">
      <c r="A30" s="130">
        <f t="shared" si="35"/>
        <v>25</v>
      </c>
      <c r="B30" s="133" t="s">
        <v>20</v>
      </c>
      <c r="C30" s="143">
        <v>10</v>
      </c>
      <c r="D30" s="133" t="str">
        <f t="shared" si="26"/>
        <v>B.10</v>
      </c>
      <c r="E30" s="134" t="s">
        <v>76</v>
      </c>
      <c r="F30" s="134">
        <v>711</v>
      </c>
      <c r="G30" s="134">
        <v>9</v>
      </c>
      <c r="H30" s="134" t="s">
        <v>77</v>
      </c>
      <c r="I30" s="135">
        <v>43705</v>
      </c>
      <c r="J30" s="136">
        <v>1291.2</v>
      </c>
      <c r="K30" s="136">
        <f t="shared" si="27"/>
        <v>0</v>
      </c>
      <c r="L30" s="137">
        <f>1292.5-1.3</f>
        <v>1291.2</v>
      </c>
      <c r="M30" s="138">
        <f t="shared" si="1"/>
        <v>1291.2</v>
      </c>
      <c r="N30" s="139" t="s">
        <v>103</v>
      </c>
      <c r="O30" s="134" t="s">
        <v>119</v>
      </c>
      <c r="P30" s="134" t="s">
        <v>110</v>
      </c>
      <c r="Q30" s="140" t="s">
        <v>6</v>
      </c>
      <c r="R30" s="138" t="s">
        <v>126</v>
      </c>
      <c r="S30" s="141">
        <v>11208360</v>
      </c>
      <c r="T30" s="141">
        <f t="shared" si="28"/>
        <v>14472234432</v>
      </c>
      <c r="U30" s="151">
        <f t="shared" si="29"/>
        <v>0</v>
      </c>
      <c r="V30" s="141">
        <f t="shared" si="30"/>
        <v>0</v>
      </c>
      <c r="W30" s="141">
        <f t="shared" si="36"/>
        <v>0</v>
      </c>
      <c r="X30" s="141">
        <f t="shared" si="31"/>
        <v>0</v>
      </c>
      <c r="Y30" s="141">
        <f t="shared" si="39"/>
        <v>0</v>
      </c>
      <c r="Z30" s="141">
        <f t="shared" si="2"/>
        <v>0</v>
      </c>
      <c r="AA30" s="141">
        <f t="shared" si="32"/>
        <v>0</v>
      </c>
      <c r="AB30" s="141">
        <f t="shared" si="3"/>
        <v>0</v>
      </c>
      <c r="AC30" s="142" t="s">
        <v>18</v>
      </c>
      <c r="AE30" s="145">
        <f t="shared" si="4"/>
        <v>10433886.641883519</v>
      </c>
      <c r="AF30" s="146">
        <f t="shared" si="33"/>
        <v>13472234432</v>
      </c>
      <c r="AG30" s="145">
        <f t="shared" si="5"/>
        <v>0</v>
      </c>
      <c r="AH30" s="146">
        <f t="shared" si="6"/>
        <v>0</v>
      </c>
      <c r="AI30" s="145">
        <f t="shared" si="7"/>
        <v>0</v>
      </c>
      <c r="AJ30" s="146">
        <f t="shared" si="8"/>
        <v>0</v>
      </c>
      <c r="AK30" s="145">
        <f t="shared" si="9"/>
        <v>10124097.298636926</v>
      </c>
      <c r="AL30" s="146">
        <f t="shared" si="10"/>
        <v>13072234432</v>
      </c>
      <c r="AM30" s="145">
        <f t="shared" si="11"/>
        <v>0</v>
      </c>
      <c r="AN30" s="146">
        <f t="shared" si="12"/>
        <v>0</v>
      </c>
      <c r="AO30" s="145">
        <f t="shared" si="13"/>
        <v>0</v>
      </c>
      <c r="AP30" s="146">
        <f t="shared" si="14"/>
        <v>0</v>
      </c>
      <c r="AQ30" s="145">
        <f t="shared" si="15"/>
        <v>9969202.6270136312</v>
      </c>
      <c r="AR30" s="146">
        <f t="shared" si="16"/>
        <v>12872234432</v>
      </c>
      <c r="AS30" s="145">
        <f t="shared" si="17"/>
        <v>0</v>
      </c>
      <c r="AT30" s="146">
        <f t="shared" si="18"/>
        <v>0</v>
      </c>
      <c r="AU30" s="145">
        <f t="shared" si="19"/>
        <v>0</v>
      </c>
      <c r="AV30" s="146">
        <f t="shared" si="20"/>
        <v>0</v>
      </c>
      <c r="AW30" s="145">
        <f t="shared" si="21"/>
        <v>9814307.9553903341</v>
      </c>
      <c r="AX30" s="146">
        <f t="shared" si="34"/>
        <v>12672234432</v>
      </c>
      <c r="AY30" s="145">
        <f t="shared" si="22"/>
        <v>0</v>
      </c>
      <c r="AZ30" s="146">
        <f t="shared" si="23"/>
        <v>0</v>
      </c>
      <c r="BA30" s="145">
        <f t="shared" si="24"/>
        <v>0</v>
      </c>
      <c r="BB30" s="146">
        <f t="shared" si="25"/>
        <v>0</v>
      </c>
    </row>
    <row r="31" spans="1:54" ht="15.75" customHeight="1">
      <c r="A31" s="130">
        <f t="shared" si="35"/>
        <v>26</v>
      </c>
      <c r="B31" s="133" t="s">
        <v>20</v>
      </c>
      <c r="C31" s="143">
        <v>12</v>
      </c>
      <c r="D31" s="133" t="str">
        <f t="shared" si="26"/>
        <v>B.12</v>
      </c>
      <c r="E31" s="134" t="s">
        <v>78</v>
      </c>
      <c r="F31" s="134">
        <v>715</v>
      </c>
      <c r="G31" s="134">
        <v>9</v>
      </c>
      <c r="H31" s="134" t="s">
        <v>79</v>
      </c>
      <c r="I31" s="135">
        <v>43705</v>
      </c>
      <c r="J31" s="136">
        <v>1009</v>
      </c>
      <c r="K31" s="136">
        <f t="shared" si="27"/>
        <v>179.55999999999995</v>
      </c>
      <c r="L31" s="137">
        <v>829.44</v>
      </c>
      <c r="M31" s="138">
        <f t="shared" si="1"/>
        <v>829.44</v>
      </c>
      <c r="N31" s="139" t="s">
        <v>104</v>
      </c>
      <c r="O31" s="134" t="s">
        <v>119</v>
      </c>
      <c r="P31" s="134" t="s">
        <v>110</v>
      </c>
      <c r="Q31" s="140" t="s">
        <v>8</v>
      </c>
      <c r="R31" s="138" t="s">
        <v>124</v>
      </c>
      <c r="S31" s="141">
        <v>12172520</v>
      </c>
      <c r="T31" s="141">
        <f t="shared" si="28"/>
        <v>10096374988.800001</v>
      </c>
      <c r="U31" s="151">
        <f t="shared" si="29"/>
        <v>491</v>
      </c>
      <c r="V31" s="141">
        <f t="shared" si="30"/>
        <v>10300000</v>
      </c>
      <c r="W31" s="141">
        <f t="shared" si="36"/>
        <v>5057300000</v>
      </c>
      <c r="X31" s="141">
        <f t="shared" si="31"/>
        <v>5563030000</v>
      </c>
      <c r="Y31" s="141">
        <f t="shared" si="39"/>
        <v>18269766.334876545</v>
      </c>
      <c r="Z31" s="141">
        <f t="shared" si="2"/>
        <v>15153674988.800001</v>
      </c>
      <c r="AA31" s="141">
        <f t="shared" si="32"/>
        <v>18879490.968364198</v>
      </c>
      <c r="AB31" s="141">
        <f t="shared" si="3"/>
        <v>15659404988.800001</v>
      </c>
      <c r="AC31" s="142" t="s">
        <v>18</v>
      </c>
      <c r="AE31" s="145">
        <f t="shared" si="4"/>
        <v>10966887.283950618</v>
      </c>
      <c r="AF31" s="146">
        <f t="shared" si="33"/>
        <v>9096374988.8000011</v>
      </c>
      <c r="AG31" s="145">
        <f t="shared" si="5"/>
        <v>17064133.61882716</v>
      </c>
      <c r="AH31" s="146">
        <f t="shared" si="6"/>
        <v>14153674988.800001</v>
      </c>
      <c r="AI31" s="145">
        <f t="shared" si="7"/>
        <v>17673858.252314813</v>
      </c>
      <c r="AJ31" s="146">
        <f t="shared" si="8"/>
        <v>14659404988.800001</v>
      </c>
      <c r="AK31" s="145">
        <f t="shared" si="9"/>
        <v>10484634.197530866</v>
      </c>
      <c r="AL31" s="146">
        <f t="shared" si="10"/>
        <v>8696374988.8000011</v>
      </c>
      <c r="AM31" s="145">
        <f t="shared" si="11"/>
        <v>16581880.532407409</v>
      </c>
      <c r="AN31" s="146">
        <f t="shared" si="12"/>
        <v>13753674988.800001</v>
      </c>
      <c r="AO31" s="145">
        <f t="shared" si="13"/>
        <v>17191605.165895063</v>
      </c>
      <c r="AP31" s="146">
        <f t="shared" si="14"/>
        <v>14259404988.800001</v>
      </c>
      <c r="AQ31" s="145">
        <f t="shared" si="15"/>
        <v>10243507.654320989</v>
      </c>
      <c r="AR31" s="146">
        <f t="shared" si="16"/>
        <v>8496374988.8000011</v>
      </c>
      <c r="AS31" s="145">
        <f t="shared" si="17"/>
        <v>16340753.989197532</v>
      </c>
      <c r="AT31" s="146">
        <f t="shared" si="18"/>
        <v>13553674988.800001</v>
      </c>
      <c r="AU31" s="145">
        <f t="shared" si="19"/>
        <v>16950478.622685187</v>
      </c>
      <c r="AV31" s="146">
        <f t="shared" si="20"/>
        <v>14059404988.800001</v>
      </c>
      <c r="AW31" s="145">
        <f t="shared" si="21"/>
        <v>10002381.111111112</v>
      </c>
      <c r="AX31" s="146">
        <f t="shared" si="34"/>
        <v>8296374988.8000011</v>
      </c>
      <c r="AY31" s="145">
        <f t="shared" si="22"/>
        <v>16099627.445987655</v>
      </c>
      <c r="AZ31" s="146">
        <f t="shared" si="23"/>
        <v>13353674988.800001</v>
      </c>
      <c r="BA31" s="145">
        <f t="shared" si="24"/>
        <v>16709352.07947531</v>
      </c>
      <c r="BB31" s="146">
        <f t="shared" si="25"/>
        <v>13859404988.800001</v>
      </c>
    </row>
    <row r="32" spans="1:54" ht="15.75" customHeight="1">
      <c r="A32" s="130">
        <f t="shared" si="35"/>
        <v>27</v>
      </c>
      <c r="B32" s="133" t="s">
        <v>20</v>
      </c>
      <c r="C32" s="143">
        <v>13</v>
      </c>
      <c r="D32" s="133" t="str">
        <f t="shared" si="26"/>
        <v>B.13</v>
      </c>
      <c r="E32" s="134" t="s">
        <v>80</v>
      </c>
      <c r="F32" s="134">
        <v>714</v>
      </c>
      <c r="G32" s="134">
        <v>9</v>
      </c>
      <c r="H32" s="134" t="s">
        <v>81</v>
      </c>
      <c r="I32" s="135">
        <v>43705</v>
      </c>
      <c r="J32" s="136">
        <v>1018.9</v>
      </c>
      <c r="K32" s="136">
        <f t="shared" si="27"/>
        <v>255.63</v>
      </c>
      <c r="L32" s="137">
        <v>763.27</v>
      </c>
      <c r="M32" s="138">
        <f t="shared" si="1"/>
        <v>763.27</v>
      </c>
      <c r="N32" s="139" t="s">
        <v>105</v>
      </c>
      <c r="O32" s="134" t="s">
        <v>119</v>
      </c>
      <c r="P32" s="134" t="s">
        <v>110</v>
      </c>
      <c r="Q32" s="140" t="s">
        <v>8</v>
      </c>
      <c r="R32" s="138" t="s">
        <v>124</v>
      </c>
      <c r="S32" s="141">
        <v>12835380</v>
      </c>
      <c r="T32" s="141">
        <f t="shared" si="28"/>
        <v>9796860492.6000004</v>
      </c>
      <c r="U32" s="151">
        <f t="shared" si="29"/>
        <v>491</v>
      </c>
      <c r="V32" s="141">
        <f t="shared" si="30"/>
        <v>10300000</v>
      </c>
      <c r="W32" s="141">
        <f t="shared" si="36"/>
        <v>5057300000</v>
      </c>
      <c r="X32" s="141">
        <f t="shared" si="31"/>
        <v>5563030000</v>
      </c>
      <c r="Y32" s="141">
        <f t="shared" si="39"/>
        <v>19461213.584445871</v>
      </c>
      <c r="Z32" s="141">
        <f t="shared" si="2"/>
        <v>14854160492.6</v>
      </c>
      <c r="AA32" s="141">
        <f t="shared" si="32"/>
        <v>20123796.942890458</v>
      </c>
      <c r="AB32" s="141">
        <f t="shared" si="3"/>
        <v>15359890492.6</v>
      </c>
      <c r="AC32" s="142" t="s">
        <v>18</v>
      </c>
      <c r="AE32" s="145">
        <f t="shared" si="4"/>
        <v>11525227.629279286</v>
      </c>
      <c r="AF32" s="146">
        <f t="shared" si="33"/>
        <v>8796860492.6000004</v>
      </c>
      <c r="AG32" s="145">
        <f t="shared" si="5"/>
        <v>18151061.213725157</v>
      </c>
      <c r="AH32" s="146">
        <f t="shared" si="6"/>
        <v>13854160492.6</v>
      </c>
      <c r="AI32" s="145">
        <f t="shared" si="7"/>
        <v>18813644.572169743</v>
      </c>
      <c r="AJ32" s="146">
        <f t="shared" si="8"/>
        <v>14359890492.6</v>
      </c>
      <c r="AK32" s="145">
        <f t="shared" si="9"/>
        <v>11001166.680991</v>
      </c>
      <c r="AL32" s="146">
        <f t="shared" si="10"/>
        <v>8396860492.6000004</v>
      </c>
      <c r="AM32" s="145">
        <f t="shared" si="11"/>
        <v>17627000.265436873</v>
      </c>
      <c r="AN32" s="146">
        <f t="shared" si="12"/>
        <v>13454160492.6</v>
      </c>
      <c r="AO32" s="145">
        <f t="shared" si="13"/>
        <v>18289583.623881459</v>
      </c>
      <c r="AP32" s="146">
        <f t="shared" si="14"/>
        <v>13959890492.6</v>
      </c>
      <c r="AQ32" s="145">
        <f t="shared" si="15"/>
        <v>10739136.206846857</v>
      </c>
      <c r="AR32" s="146">
        <f t="shared" si="16"/>
        <v>8196860492.6000004</v>
      </c>
      <c r="AS32" s="145">
        <f t="shared" si="17"/>
        <v>17364969.791292727</v>
      </c>
      <c r="AT32" s="146">
        <f t="shared" si="18"/>
        <v>13254160492.6</v>
      </c>
      <c r="AU32" s="145">
        <f t="shared" si="19"/>
        <v>18027553.149737317</v>
      </c>
      <c r="AV32" s="146">
        <f t="shared" si="20"/>
        <v>13759890492.6</v>
      </c>
      <c r="AW32" s="145">
        <f t="shared" si="21"/>
        <v>10477105.732702713</v>
      </c>
      <c r="AX32" s="146">
        <f t="shared" si="34"/>
        <v>7996860492.6000004</v>
      </c>
      <c r="AY32" s="145">
        <f t="shared" si="22"/>
        <v>17102939.317148585</v>
      </c>
      <c r="AZ32" s="146">
        <f t="shared" si="23"/>
        <v>13054160492.6</v>
      </c>
      <c r="BA32" s="145">
        <f t="shared" si="24"/>
        <v>17765522.675593171</v>
      </c>
      <c r="BB32" s="146">
        <f t="shared" si="25"/>
        <v>13559890492.6</v>
      </c>
    </row>
    <row r="33" spans="1:54" ht="15.75" customHeight="1">
      <c r="A33" s="130">
        <f t="shared" si="35"/>
        <v>28</v>
      </c>
      <c r="B33" s="133" t="s">
        <v>20</v>
      </c>
      <c r="C33" s="143">
        <v>14</v>
      </c>
      <c r="D33" s="133" t="str">
        <f t="shared" si="26"/>
        <v>B.14</v>
      </c>
      <c r="E33" s="134" t="s">
        <v>82</v>
      </c>
      <c r="F33" s="134">
        <v>726</v>
      </c>
      <c r="G33" s="134">
        <v>9</v>
      </c>
      <c r="H33" s="134" t="s">
        <v>83</v>
      </c>
      <c r="I33" s="135">
        <v>43705</v>
      </c>
      <c r="J33" s="136">
        <v>1079.3</v>
      </c>
      <c r="K33" s="136">
        <f t="shared" si="27"/>
        <v>133.14999999999998</v>
      </c>
      <c r="L33" s="137">
        <v>946.15</v>
      </c>
      <c r="M33" s="138">
        <f t="shared" si="1"/>
        <v>946.15</v>
      </c>
      <c r="N33" s="139" t="s">
        <v>106</v>
      </c>
      <c r="O33" s="134" t="s">
        <v>119</v>
      </c>
      <c r="P33" s="134" t="s">
        <v>109</v>
      </c>
      <c r="Q33" s="140" t="s">
        <v>7</v>
      </c>
      <c r="R33" s="138" t="s">
        <v>124</v>
      </c>
      <c r="S33" s="141">
        <v>13618759.999999998</v>
      </c>
      <c r="T33" s="141">
        <f t="shared" si="28"/>
        <v>12885389773.999998</v>
      </c>
      <c r="U33" s="151">
        <f t="shared" si="29"/>
        <v>491</v>
      </c>
      <c r="V33" s="141">
        <f t="shared" si="30"/>
        <v>10300000</v>
      </c>
      <c r="W33" s="141">
        <f t="shared" si="36"/>
        <v>5057300000</v>
      </c>
      <c r="X33" s="141">
        <f t="shared" si="31"/>
        <v>5563030000</v>
      </c>
      <c r="Y33" s="141">
        <f t="shared" si="39"/>
        <v>18963895.549331501</v>
      </c>
      <c r="Z33" s="141">
        <f t="shared" si="2"/>
        <v>17942689774</v>
      </c>
      <c r="AA33" s="141">
        <f t="shared" si="32"/>
        <v>19498409.10426465</v>
      </c>
      <c r="AB33" s="141">
        <f t="shared" si="3"/>
        <v>18448419774</v>
      </c>
      <c r="AC33" s="142" t="s">
        <v>18</v>
      </c>
      <c r="AE33" s="145">
        <f t="shared" si="4"/>
        <v>12561845.134492414</v>
      </c>
      <c r="AF33" s="146">
        <f t="shared" si="33"/>
        <v>11885389773.999998</v>
      </c>
      <c r="AG33" s="145">
        <f t="shared" si="5"/>
        <v>17906980.683823917</v>
      </c>
      <c r="AH33" s="146">
        <f t="shared" si="6"/>
        <v>16942689773.999998</v>
      </c>
      <c r="AI33" s="145">
        <f t="shared" si="7"/>
        <v>18441494.23875707</v>
      </c>
      <c r="AJ33" s="146">
        <f t="shared" si="8"/>
        <v>17448419774</v>
      </c>
      <c r="AK33" s="145">
        <f t="shared" si="9"/>
        <v>12139079.188289382</v>
      </c>
      <c r="AL33" s="146">
        <f t="shared" si="10"/>
        <v>11485389773.999998</v>
      </c>
      <c r="AM33" s="145">
        <f t="shared" si="11"/>
        <v>17484214.737620883</v>
      </c>
      <c r="AN33" s="146">
        <f t="shared" si="12"/>
        <v>16542689773.999998</v>
      </c>
      <c r="AO33" s="145">
        <f t="shared" si="13"/>
        <v>18018728.292554032</v>
      </c>
      <c r="AP33" s="146">
        <f t="shared" si="14"/>
        <v>17048419773.999998</v>
      </c>
      <c r="AQ33" s="145">
        <f t="shared" si="15"/>
        <v>11927696.215187864</v>
      </c>
      <c r="AR33" s="146">
        <f t="shared" si="16"/>
        <v>11285389773.999998</v>
      </c>
      <c r="AS33" s="145">
        <f t="shared" si="17"/>
        <v>17272831.764519367</v>
      </c>
      <c r="AT33" s="146">
        <f t="shared" si="18"/>
        <v>16342689773.999998</v>
      </c>
      <c r="AU33" s="145">
        <f t="shared" si="19"/>
        <v>17807345.319452517</v>
      </c>
      <c r="AV33" s="146">
        <f t="shared" si="20"/>
        <v>16848419773.999998</v>
      </c>
      <c r="AW33" s="145">
        <f t="shared" si="21"/>
        <v>11716313.242086349</v>
      </c>
      <c r="AX33" s="146">
        <f t="shared" si="34"/>
        <v>11085389773.999998</v>
      </c>
      <c r="AY33" s="145">
        <f t="shared" si="22"/>
        <v>17061448.791417848</v>
      </c>
      <c r="AZ33" s="146">
        <f t="shared" si="23"/>
        <v>16142689773.999998</v>
      </c>
      <c r="BA33" s="145">
        <f t="shared" si="24"/>
        <v>17595962.346351001</v>
      </c>
      <c r="BB33" s="146">
        <f t="shared" si="25"/>
        <v>16648419773.999998</v>
      </c>
    </row>
    <row r="34" spans="1:54" ht="15.75" customHeight="1">
      <c r="A34" s="130">
        <f t="shared" si="35"/>
        <v>29</v>
      </c>
      <c r="B34" s="133" t="s">
        <v>20</v>
      </c>
      <c r="C34" s="143">
        <v>15</v>
      </c>
      <c r="D34" s="133" t="str">
        <f t="shared" si="26"/>
        <v>B.15</v>
      </c>
      <c r="E34" s="134" t="s">
        <v>84</v>
      </c>
      <c r="F34" s="134">
        <v>727</v>
      </c>
      <c r="G34" s="134">
        <v>9</v>
      </c>
      <c r="H34" s="134" t="s">
        <v>85</v>
      </c>
      <c r="I34" s="135">
        <v>43705</v>
      </c>
      <c r="J34" s="136">
        <v>1033.9000000000001</v>
      </c>
      <c r="K34" s="136">
        <f t="shared" si="27"/>
        <v>199.15000000000009</v>
      </c>
      <c r="L34" s="137">
        <v>834.75</v>
      </c>
      <c r="M34" s="138">
        <f t="shared" si="1"/>
        <v>834.75</v>
      </c>
      <c r="N34" s="139" t="s">
        <v>105</v>
      </c>
      <c r="O34" s="134" t="s">
        <v>16</v>
      </c>
      <c r="P34" s="134" t="s">
        <v>109</v>
      </c>
      <c r="Q34" s="140" t="s">
        <v>7</v>
      </c>
      <c r="R34" s="138" t="s">
        <v>124</v>
      </c>
      <c r="S34" s="141">
        <v>13980320.000000004</v>
      </c>
      <c r="T34" s="141">
        <f t="shared" si="28"/>
        <v>11670072120.000004</v>
      </c>
      <c r="U34" s="151">
        <f t="shared" si="29"/>
        <v>491</v>
      </c>
      <c r="V34" s="141">
        <f t="shared" si="30"/>
        <v>10300000</v>
      </c>
      <c r="W34" s="141">
        <f t="shared" si="36"/>
        <v>5057300000</v>
      </c>
      <c r="X34" s="141">
        <f t="shared" si="31"/>
        <v>5563030000</v>
      </c>
      <c r="Y34" s="141">
        <f t="shared" si="39"/>
        <v>20038780.616951186</v>
      </c>
      <c r="Z34" s="141">
        <f t="shared" si="2"/>
        <v>16727372120.000004</v>
      </c>
      <c r="AA34" s="141">
        <f t="shared" si="32"/>
        <v>20644626.678646307</v>
      </c>
      <c r="AB34" s="141">
        <f t="shared" si="3"/>
        <v>17233102120.000004</v>
      </c>
      <c r="AC34" s="142" t="s">
        <v>18</v>
      </c>
      <c r="AE34" s="145">
        <f t="shared" si="4"/>
        <v>12782356.537885599</v>
      </c>
      <c r="AF34" s="146">
        <f t="shared" si="33"/>
        <v>10670072120.000004</v>
      </c>
      <c r="AG34" s="145">
        <f t="shared" si="5"/>
        <v>18840817.154836781</v>
      </c>
      <c r="AH34" s="146">
        <f t="shared" si="6"/>
        <v>15727372120.000004</v>
      </c>
      <c r="AI34" s="145">
        <f t="shared" si="7"/>
        <v>19446663.216531899</v>
      </c>
      <c r="AJ34" s="146">
        <f t="shared" si="8"/>
        <v>16233102120.000004</v>
      </c>
      <c r="AK34" s="145">
        <f t="shared" si="9"/>
        <v>12303171.153039837</v>
      </c>
      <c r="AL34" s="146">
        <f t="shared" si="10"/>
        <v>10270072120.000004</v>
      </c>
      <c r="AM34" s="145">
        <f t="shared" si="11"/>
        <v>18361631.769991022</v>
      </c>
      <c r="AN34" s="146">
        <f t="shared" si="12"/>
        <v>15327372120.000004</v>
      </c>
      <c r="AO34" s="145">
        <f t="shared" si="13"/>
        <v>18967477.831686139</v>
      </c>
      <c r="AP34" s="146">
        <f t="shared" si="14"/>
        <v>15833102120.000004</v>
      </c>
      <c r="AQ34" s="145">
        <f t="shared" si="15"/>
        <v>12063578.460616956</v>
      </c>
      <c r="AR34" s="146">
        <f t="shared" si="16"/>
        <v>10070072120.000004</v>
      </c>
      <c r="AS34" s="145">
        <f t="shared" si="17"/>
        <v>18122039.07756814</v>
      </c>
      <c r="AT34" s="146">
        <f t="shared" si="18"/>
        <v>15127372120.000004</v>
      </c>
      <c r="AU34" s="145">
        <f t="shared" si="19"/>
        <v>18727885.139263257</v>
      </c>
      <c r="AV34" s="146">
        <f t="shared" si="20"/>
        <v>15633102120.000004</v>
      </c>
      <c r="AW34" s="145">
        <f t="shared" si="21"/>
        <v>11823985.768194074</v>
      </c>
      <c r="AX34" s="146">
        <f t="shared" si="34"/>
        <v>9870072120.0000038</v>
      </c>
      <c r="AY34" s="145">
        <f t="shared" si="22"/>
        <v>17882446.385145258</v>
      </c>
      <c r="AZ34" s="146">
        <f t="shared" si="23"/>
        <v>14927372120.000004</v>
      </c>
      <c r="BA34" s="145">
        <f t="shared" si="24"/>
        <v>18488292.446840376</v>
      </c>
      <c r="BB34" s="146">
        <f t="shared" si="25"/>
        <v>15433102120.000004</v>
      </c>
    </row>
    <row r="35" spans="1:54" ht="15.75" customHeight="1">
      <c r="A35" s="130">
        <f t="shared" si="35"/>
        <v>30</v>
      </c>
      <c r="B35" s="133" t="s">
        <v>20</v>
      </c>
      <c r="C35" s="143">
        <v>17</v>
      </c>
      <c r="D35" s="133" t="str">
        <f t="shared" si="26"/>
        <v>B.17</v>
      </c>
      <c r="E35" s="134" t="s">
        <v>86</v>
      </c>
      <c r="F35" s="134">
        <v>712</v>
      </c>
      <c r="G35" s="134">
        <v>9</v>
      </c>
      <c r="H35" s="134" t="s">
        <v>87</v>
      </c>
      <c r="I35" s="135">
        <v>43705</v>
      </c>
      <c r="J35" s="136">
        <v>1190.2</v>
      </c>
      <c r="K35" s="136">
        <f t="shared" si="27"/>
        <v>204.63</v>
      </c>
      <c r="L35" s="137">
        <v>985.57</v>
      </c>
      <c r="M35" s="138">
        <f t="shared" si="1"/>
        <v>985.57</v>
      </c>
      <c r="N35" s="139" t="s">
        <v>104</v>
      </c>
      <c r="O35" s="134" t="s">
        <v>119</v>
      </c>
      <c r="P35" s="134" t="s">
        <v>110</v>
      </c>
      <c r="Q35" s="140" t="s">
        <v>7</v>
      </c>
      <c r="R35" s="138" t="s">
        <v>126</v>
      </c>
      <c r="S35" s="141">
        <v>12172519.999999998</v>
      </c>
      <c r="T35" s="141">
        <f t="shared" si="28"/>
        <v>11996870536.4</v>
      </c>
      <c r="U35" s="151">
        <f t="shared" si="29"/>
        <v>0</v>
      </c>
      <c r="V35" s="141">
        <f t="shared" si="30"/>
        <v>0</v>
      </c>
      <c r="W35" s="141">
        <f t="shared" si="36"/>
        <v>0</v>
      </c>
      <c r="X35" s="141">
        <f t="shared" si="31"/>
        <v>0</v>
      </c>
      <c r="Y35" s="141">
        <f t="shared" si="39"/>
        <v>0</v>
      </c>
      <c r="Z35" s="141">
        <f t="shared" si="2"/>
        <v>0</v>
      </c>
      <c r="AA35" s="141">
        <f t="shared" si="32"/>
        <v>0</v>
      </c>
      <c r="AB35" s="141">
        <f t="shared" si="3"/>
        <v>0</v>
      </c>
      <c r="AC35" s="142" t="s">
        <v>18</v>
      </c>
      <c r="AE35" s="145">
        <f t="shared" si="4"/>
        <v>11157878.726422273</v>
      </c>
      <c r="AF35" s="146">
        <f t="shared" si="33"/>
        <v>10996870536.4</v>
      </c>
      <c r="AG35" s="145">
        <f t="shared" si="5"/>
        <v>0</v>
      </c>
      <c r="AH35" s="146">
        <f t="shared" si="6"/>
        <v>0</v>
      </c>
      <c r="AI35" s="145">
        <f t="shared" si="7"/>
        <v>0</v>
      </c>
      <c r="AJ35" s="146">
        <f t="shared" si="8"/>
        <v>0</v>
      </c>
      <c r="AK35" s="145">
        <f t="shared" si="9"/>
        <v>10752022.216991182</v>
      </c>
      <c r="AL35" s="146">
        <f t="shared" si="10"/>
        <v>10596870536.4</v>
      </c>
      <c r="AM35" s="145">
        <f t="shared" si="11"/>
        <v>0</v>
      </c>
      <c r="AN35" s="146">
        <f t="shared" si="12"/>
        <v>0</v>
      </c>
      <c r="AO35" s="145">
        <f t="shared" si="13"/>
        <v>0</v>
      </c>
      <c r="AP35" s="146">
        <f t="shared" si="14"/>
        <v>0</v>
      </c>
      <c r="AQ35" s="145">
        <f t="shared" si="15"/>
        <v>10549093.962275637</v>
      </c>
      <c r="AR35" s="146">
        <f t="shared" si="16"/>
        <v>10396870536.4</v>
      </c>
      <c r="AS35" s="145">
        <f t="shared" si="17"/>
        <v>0</v>
      </c>
      <c r="AT35" s="146">
        <f t="shared" si="18"/>
        <v>0</v>
      </c>
      <c r="AU35" s="145">
        <f t="shared" si="19"/>
        <v>0</v>
      </c>
      <c r="AV35" s="146">
        <f t="shared" si="20"/>
        <v>0</v>
      </c>
      <c r="AW35" s="145">
        <f t="shared" si="21"/>
        <v>10346165.70756009</v>
      </c>
      <c r="AX35" s="146">
        <f t="shared" si="34"/>
        <v>10196870536.4</v>
      </c>
      <c r="AY35" s="145">
        <f t="shared" si="22"/>
        <v>0</v>
      </c>
      <c r="AZ35" s="146">
        <f t="shared" si="23"/>
        <v>0</v>
      </c>
      <c r="BA35" s="145">
        <f t="shared" si="24"/>
        <v>0</v>
      </c>
      <c r="BB35" s="146">
        <f t="shared" si="25"/>
        <v>0</v>
      </c>
    </row>
    <row r="36" spans="1:54" ht="15.75" customHeight="1">
      <c r="A36" s="130">
        <f t="shared" si="35"/>
        <v>31</v>
      </c>
      <c r="B36" s="133" t="s">
        <v>20</v>
      </c>
      <c r="C36" s="143">
        <v>18</v>
      </c>
      <c r="D36" s="133" t="str">
        <f t="shared" si="26"/>
        <v>B.18</v>
      </c>
      <c r="E36" s="134" t="s">
        <v>88</v>
      </c>
      <c r="F36" s="134">
        <v>713</v>
      </c>
      <c r="G36" s="134">
        <v>9</v>
      </c>
      <c r="H36" s="134" t="s">
        <v>89</v>
      </c>
      <c r="I36" s="135">
        <v>43705</v>
      </c>
      <c r="J36" s="136">
        <v>1168.4000000000001</v>
      </c>
      <c r="K36" s="136">
        <f t="shared" si="27"/>
        <v>183.3900000000001</v>
      </c>
      <c r="L36" s="137">
        <v>985.01</v>
      </c>
      <c r="M36" s="138">
        <f t="shared" si="1"/>
        <v>985.01</v>
      </c>
      <c r="N36" s="139" t="s">
        <v>104</v>
      </c>
      <c r="O36" s="134" t="s">
        <v>119</v>
      </c>
      <c r="P36" s="134" t="s">
        <v>110</v>
      </c>
      <c r="Q36" s="140" t="s">
        <v>7</v>
      </c>
      <c r="R36" s="138" t="s">
        <v>126</v>
      </c>
      <c r="S36" s="141">
        <v>12172520</v>
      </c>
      <c r="T36" s="141">
        <f t="shared" si="28"/>
        <v>11990053925.200001</v>
      </c>
      <c r="U36" s="151">
        <f t="shared" si="29"/>
        <v>0</v>
      </c>
      <c r="V36" s="141">
        <f t="shared" si="30"/>
        <v>0</v>
      </c>
      <c r="W36" s="141">
        <f t="shared" si="36"/>
        <v>0</v>
      </c>
      <c r="X36" s="141">
        <f t="shared" si="31"/>
        <v>0</v>
      </c>
      <c r="Y36" s="141">
        <f t="shared" si="39"/>
        <v>0</v>
      </c>
      <c r="Z36" s="141">
        <f t="shared" si="2"/>
        <v>0</v>
      </c>
      <c r="AA36" s="141">
        <f t="shared" si="32"/>
        <v>0</v>
      </c>
      <c r="AB36" s="141">
        <f t="shared" si="3"/>
        <v>0</v>
      </c>
      <c r="AC36" s="142" t="s">
        <v>18</v>
      </c>
      <c r="AE36" s="145">
        <f t="shared" si="4"/>
        <v>11157301.880387003</v>
      </c>
      <c r="AF36" s="146">
        <f t="shared" si="33"/>
        <v>10990053925.200001</v>
      </c>
      <c r="AG36" s="145">
        <f t="shared" si="5"/>
        <v>0</v>
      </c>
      <c r="AH36" s="146">
        <f t="shared" si="6"/>
        <v>0</v>
      </c>
      <c r="AI36" s="145">
        <f t="shared" si="7"/>
        <v>0</v>
      </c>
      <c r="AJ36" s="146">
        <f t="shared" si="8"/>
        <v>0</v>
      </c>
      <c r="AK36" s="145">
        <f t="shared" si="9"/>
        <v>10751214.632541802</v>
      </c>
      <c r="AL36" s="146">
        <f t="shared" si="10"/>
        <v>10590053925.200001</v>
      </c>
      <c r="AM36" s="145">
        <f t="shared" si="11"/>
        <v>0</v>
      </c>
      <c r="AN36" s="146">
        <f t="shared" si="12"/>
        <v>0</v>
      </c>
      <c r="AO36" s="145">
        <f t="shared" si="13"/>
        <v>0</v>
      </c>
      <c r="AP36" s="146">
        <f t="shared" si="14"/>
        <v>0</v>
      </c>
      <c r="AQ36" s="145">
        <f t="shared" si="15"/>
        <v>10548171.008619202</v>
      </c>
      <c r="AR36" s="146">
        <f t="shared" si="16"/>
        <v>10390053925.200001</v>
      </c>
      <c r="AS36" s="145">
        <f t="shared" si="17"/>
        <v>0</v>
      </c>
      <c r="AT36" s="146">
        <f t="shared" si="18"/>
        <v>0</v>
      </c>
      <c r="AU36" s="145">
        <f t="shared" si="19"/>
        <v>0</v>
      </c>
      <c r="AV36" s="146">
        <f t="shared" si="20"/>
        <v>0</v>
      </c>
      <c r="AW36" s="145">
        <f t="shared" si="21"/>
        <v>10345127.384696603</v>
      </c>
      <c r="AX36" s="146">
        <f t="shared" si="34"/>
        <v>10190053925.200001</v>
      </c>
      <c r="AY36" s="145">
        <f t="shared" si="22"/>
        <v>0</v>
      </c>
      <c r="AZ36" s="146">
        <f t="shared" si="23"/>
        <v>0</v>
      </c>
      <c r="BA36" s="145">
        <f t="shared" si="24"/>
        <v>0</v>
      </c>
      <c r="BB36" s="146">
        <f t="shared" si="25"/>
        <v>0</v>
      </c>
    </row>
    <row r="37" spans="1:54" ht="15.75" customHeight="1">
      <c r="A37" s="130">
        <f t="shared" si="35"/>
        <v>32</v>
      </c>
      <c r="B37" s="131" t="s">
        <v>20</v>
      </c>
      <c r="C37" s="143">
        <v>19</v>
      </c>
      <c r="D37" s="133" t="str">
        <f t="shared" si="26"/>
        <v>B.19</v>
      </c>
      <c r="E37" s="134" t="s">
        <v>90</v>
      </c>
      <c r="F37" s="134">
        <v>729</v>
      </c>
      <c r="G37" s="134">
        <v>9</v>
      </c>
      <c r="H37" s="134" t="s">
        <v>91</v>
      </c>
      <c r="I37" s="135">
        <v>43705</v>
      </c>
      <c r="J37" s="136">
        <v>1148.9000000000001</v>
      </c>
      <c r="K37" s="136">
        <f t="shared" si="27"/>
        <v>150.84000000000015</v>
      </c>
      <c r="L37" s="137">
        <v>998.06</v>
      </c>
      <c r="M37" s="138">
        <f t="shared" si="1"/>
        <v>998.06</v>
      </c>
      <c r="N37" s="144" t="s">
        <v>10</v>
      </c>
      <c r="O37" s="134" t="s">
        <v>119</v>
      </c>
      <c r="P37" s="134" t="s">
        <v>110</v>
      </c>
      <c r="Q37" s="140" t="s">
        <v>7</v>
      </c>
      <c r="R37" s="138" t="s">
        <v>126</v>
      </c>
      <c r="S37" s="141">
        <v>12052000</v>
      </c>
      <c r="T37" s="141">
        <f t="shared" si="28"/>
        <v>12028619120</v>
      </c>
      <c r="U37" s="151">
        <f t="shared" si="29"/>
        <v>0</v>
      </c>
      <c r="V37" s="141">
        <f t="shared" si="30"/>
        <v>0</v>
      </c>
      <c r="W37" s="141">
        <f t="shared" si="36"/>
        <v>0</v>
      </c>
      <c r="X37" s="141">
        <f t="shared" si="31"/>
        <v>0</v>
      </c>
      <c r="Y37" s="141">
        <f t="shared" si="39"/>
        <v>0</v>
      </c>
      <c r="Z37" s="141">
        <f t="shared" si="2"/>
        <v>0</v>
      </c>
      <c r="AA37" s="141">
        <f t="shared" si="32"/>
        <v>0</v>
      </c>
      <c r="AB37" s="141">
        <f t="shared" si="3"/>
        <v>0</v>
      </c>
      <c r="AC37" s="142" t="s">
        <v>18</v>
      </c>
      <c r="AE37" s="145">
        <f t="shared" si="4"/>
        <v>11050056.229084425</v>
      </c>
      <c r="AF37" s="146">
        <f t="shared" si="33"/>
        <v>11028619120</v>
      </c>
      <c r="AG37" s="145">
        <f t="shared" si="5"/>
        <v>0</v>
      </c>
      <c r="AH37" s="146">
        <f t="shared" si="6"/>
        <v>0</v>
      </c>
      <c r="AI37" s="145">
        <f t="shared" si="7"/>
        <v>0</v>
      </c>
      <c r="AJ37" s="146">
        <f t="shared" si="8"/>
        <v>0</v>
      </c>
      <c r="AK37" s="145">
        <f t="shared" si="9"/>
        <v>10649278.720718194</v>
      </c>
      <c r="AL37" s="146">
        <f t="shared" si="10"/>
        <v>10628619120</v>
      </c>
      <c r="AM37" s="145">
        <f t="shared" si="11"/>
        <v>0</v>
      </c>
      <c r="AN37" s="146">
        <f t="shared" si="12"/>
        <v>0</v>
      </c>
      <c r="AO37" s="145">
        <f t="shared" si="13"/>
        <v>0</v>
      </c>
      <c r="AP37" s="146">
        <f t="shared" si="14"/>
        <v>0</v>
      </c>
      <c r="AQ37" s="145">
        <f t="shared" si="15"/>
        <v>10448889.966535078</v>
      </c>
      <c r="AR37" s="146">
        <f t="shared" si="16"/>
        <v>10428619120</v>
      </c>
      <c r="AS37" s="145">
        <f t="shared" si="17"/>
        <v>0</v>
      </c>
      <c r="AT37" s="146">
        <f t="shared" si="18"/>
        <v>0</v>
      </c>
      <c r="AU37" s="145">
        <f t="shared" si="19"/>
        <v>0</v>
      </c>
      <c r="AV37" s="146">
        <f t="shared" si="20"/>
        <v>0</v>
      </c>
      <c r="AW37" s="145">
        <f t="shared" si="21"/>
        <v>10248501.212351963</v>
      </c>
      <c r="AX37" s="146">
        <f t="shared" si="34"/>
        <v>10228619120</v>
      </c>
      <c r="AY37" s="145">
        <f t="shared" si="22"/>
        <v>0</v>
      </c>
      <c r="AZ37" s="146">
        <f t="shared" si="23"/>
        <v>0</v>
      </c>
      <c r="BA37" s="145">
        <f t="shared" si="24"/>
        <v>0</v>
      </c>
      <c r="BB37" s="146">
        <f t="shared" si="25"/>
        <v>0</v>
      </c>
    </row>
    <row r="38" spans="1:54" ht="15.75" customHeight="1">
      <c r="A38" s="130">
        <f t="shared" si="35"/>
        <v>33</v>
      </c>
      <c r="B38" s="131" t="s">
        <v>20</v>
      </c>
      <c r="C38" s="143">
        <v>20</v>
      </c>
      <c r="D38" s="133" t="str">
        <f t="shared" si="26"/>
        <v>B.20</v>
      </c>
      <c r="E38" s="134" t="s">
        <v>92</v>
      </c>
      <c r="F38" s="134">
        <v>730</v>
      </c>
      <c r="G38" s="134">
        <v>9</v>
      </c>
      <c r="H38" s="134" t="s">
        <v>93</v>
      </c>
      <c r="I38" s="135">
        <v>43705</v>
      </c>
      <c r="J38" s="136">
        <v>1172.7</v>
      </c>
      <c r="K38" s="136">
        <f t="shared" si="27"/>
        <v>132.94000000000005</v>
      </c>
      <c r="L38" s="137">
        <v>1039.76</v>
      </c>
      <c r="M38" s="138">
        <f t="shared" si="1"/>
        <v>1039.76</v>
      </c>
      <c r="N38" s="139" t="s">
        <v>104</v>
      </c>
      <c r="O38" s="134" t="s">
        <v>119</v>
      </c>
      <c r="P38" s="134" t="s">
        <v>110</v>
      </c>
      <c r="Q38" s="140" t="s">
        <v>7</v>
      </c>
      <c r="R38" s="138" t="s">
        <v>124</v>
      </c>
      <c r="S38" s="141">
        <v>12112259.999999998</v>
      </c>
      <c r="T38" s="141">
        <f t="shared" si="28"/>
        <v>12593843457.599998</v>
      </c>
      <c r="U38" s="151">
        <f t="shared" si="29"/>
        <v>491</v>
      </c>
      <c r="V38" s="141">
        <f t="shared" si="30"/>
        <v>10300000</v>
      </c>
      <c r="W38" s="141">
        <f t="shared" si="36"/>
        <v>5057300000</v>
      </c>
      <c r="X38" s="141">
        <f t="shared" si="31"/>
        <v>5563030000</v>
      </c>
      <c r="Y38" s="141">
        <f t="shared" si="39"/>
        <v>16976170.902515963</v>
      </c>
      <c r="Z38" s="141">
        <f t="shared" si="2"/>
        <v>17651143457.599998</v>
      </c>
      <c r="AA38" s="141">
        <f t="shared" si="32"/>
        <v>17462561.992767561</v>
      </c>
      <c r="AB38" s="141">
        <f t="shared" si="3"/>
        <v>18156873457.599998</v>
      </c>
      <c r="AC38" s="142" t="s">
        <v>18</v>
      </c>
      <c r="AE38" s="145">
        <f t="shared" si="4"/>
        <v>11150499.593752403</v>
      </c>
      <c r="AF38" s="146">
        <f t="shared" si="33"/>
        <v>11593843457.599998</v>
      </c>
      <c r="AG38" s="145">
        <f t="shared" si="5"/>
        <v>16014410.496268367</v>
      </c>
      <c r="AH38" s="146">
        <f t="shared" si="6"/>
        <v>16651143457.599998</v>
      </c>
      <c r="AI38" s="145">
        <f t="shared" si="7"/>
        <v>16500801.586519964</v>
      </c>
      <c r="AJ38" s="146">
        <f t="shared" si="8"/>
        <v>17156873457.599998</v>
      </c>
      <c r="AK38" s="145">
        <f t="shared" si="9"/>
        <v>10765795.431253364</v>
      </c>
      <c r="AL38" s="146">
        <f t="shared" si="10"/>
        <v>11193843457.599998</v>
      </c>
      <c r="AM38" s="145">
        <f t="shared" si="11"/>
        <v>15629706.333769331</v>
      </c>
      <c r="AN38" s="146">
        <f t="shared" si="12"/>
        <v>16251143457.599998</v>
      </c>
      <c r="AO38" s="145">
        <f t="shared" si="13"/>
        <v>16116097.424020927</v>
      </c>
      <c r="AP38" s="146">
        <f t="shared" si="14"/>
        <v>16756873457.599998</v>
      </c>
      <c r="AQ38" s="145">
        <f t="shared" si="15"/>
        <v>10573443.350003846</v>
      </c>
      <c r="AR38" s="146">
        <f t="shared" si="16"/>
        <v>10993843457.599998</v>
      </c>
      <c r="AS38" s="145">
        <f t="shared" si="17"/>
        <v>15437354.252519811</v>
      </c>
      <c r="AT38" s="146">
        <f t="shared" si="18"/>
        <v>16051143457.599998</v>
      </c>
      <c r="AU38" s="145">
        <f t="shared" si="19"/>
        <v>15923745.342771407</v>
      </c>
      <c r="AV38" s="146">
        <f t="shared" si="20"/>
        <v>16556873457.599998</v>
      </c>
      <c r="AW38" s="145">
        <f t="shared" si="21"/>
        <v>10381091.268754326</v>
      </c>
      <c r="AX38" s="146">
        <f t="shared" si="34"/>
        <v>10793843457.599998</v>
      </c>
      <c r="AY38" s="145">
        <f t="shared" si="22"/>
        <v>15245002.171270292</v>
      </c>
      <c r="AZ38" s="146">
        <f t="shared" si="23"/>
        <v>15851143457.599998</v>
      </c>
      <c r="BA38" s="145">
        <f t="shared" si="24"/>
        <v>15731393.261521889</v>
      </c>
      <c r="BB38" s="146">
        <f t="shared" si="25"/>
        <v>16356873457.599998</v>
      </c>
    </row>
    <row r="39" spans="1:54" ht="15.75" customHeight="1">
      <c r="A39" s="130">
        <f t="shared" si="35"/>
        <v>34</v>
      </c>
      <c r="B39" s="131" t="s">
        <v>20</v>
      </c>
      <c r="C39" s="143">
        <v>22</v>
      </c>
      <c r="D39" s="133" t="str">
        <f t="shared" si="26"/>
        <v>B.22</v>
      </c>
      <c r="E39" s="134" t="s">
        <v>94</v>
      </c>
      <c r="F39" s="134">
        <v>732</v>
      </c>
      <c r="G39" s="134">
        <v>9</v>
      </c>
      <c r="H39" s="134" t="s">
        <v>95</v>
      </c>
      <c r="I39" s="135">
        <v>43705</v>
      </c>
      <c r="J39" s="136">
        <v>1119.9000000000001</v>
      </c>
      <c r="K39" s="136">
        <f t="shared" si="27"/>
        <v>75.040000000000191</v>
      </c>
      <c r="L39" s="137">
        <v>1044.8599999999999</v>
      </c>
      <c r="M39" s="138">
        <f t="shared" si="1"/>
        <v>1044.8599999999999</v>
      </c>
      <c r="N39" s="139" t="s">
        <v>104</v>
      </c>
      <c r="O39" s="134" t="s">
        <v>119</v>
      </c>
      <c r="P39" s="134" t="s">
        <v>110</v>
      </c>
      <c r="Q39" s="140" t="s">
        <v>8</v>
      </c>
      <c r="R39" s="138" t="s">
        <v>125</v>
      </c>
      <c r="S39" s="141">
        <v>9685508.1060000006</v>
      </c>
      <c r="T39" s="141">
        <f>S39*M39</f>
        <v>10119999999.63516</v>
      </c>
      <c r="U39" s="151">
        <f t="shared" si="29"/>
        <v>850</v>
      </c>
      <c r="V39" s="141">
        <f t="shared" si="30"/>
        <v>8000000</v>
      </c>
      <c r="W39" s="141">
        <f t="shared" si="36"/>
        <v>6800000000</v>
      </c>
      <c r="X39" s="141">
        <f t="shared" si="31"/>
        <v>7480000000.000001</v>
      </c>
      <c r="Y39" s="141">
        <f t="shared" si="39"/>
        <v>16193557.031214863</v>
      </c>
      <c r="Z39" s="141">
        <f t="shared" si="2"/>
        <v>16919999999.63516</v>
      </c>
      <c r="AA39" s="141">
        <f t="shared" si="32"/>
        <v>16844361.923736352</v>
      </c>
      <c r="AB39" s="141">
        <f t="shared" si="3"/>
        <v>17599999999.635162</v>
      </c>
      <c r="AC39" s="142" t="s">
        <v>18</v>
      </c>
      <c r="AE39" s="145">
        <f t="shared" si="4"/>
        <v>8728442.0875860509</v>
      </c>
      <c r="AF39" s="146">
        <f t="shared" si="33"/>
        <v>9119999999.6351604</v>
      </c>
      <c r="AG39" s="145">
        <f t="shared" si="5"/>
        <v>15236491.012800913</v>
      </c>
      <c r="AH39" s="146">
        <f t="shared" si="6"/>
        <v>15919999999.63516</v>
      </c>
      <c r="AI39" s="145">
        <f t="shared" si="7"/>
        <v>15887295.905322401</v>
      </c>
      <c r="AJ39" s="146">
        <f t="shared" si="8"/>
        <v>16599999999.635162</v>
      </c>
      <c r="AK39" s="145">
        <f t="shared" si="9"/>
        <v>8345615.6802204708</v>
      </c>
      <c r="AL39" s="146">
        <f t="shared" si="10"/>
        <v>8719999999.6351604</v>
      </c>
      <c r="AM39" s="145">
        <f t="shared" si="11"/>
        <v>14853664.605435332</v>
      </c>
      <c r="AN39" s="146">
        <f t="shared" si="12"/>
        <v>15519999999.63516</v>
      </c>
      <c r="AO39" s="145">
        <f t="shared" si="13"/>
        <v>15504469.497956822</v>
      </c>
      <c r="AP39" s="146">
        <f t="shared" si="14"/>
        <v>16199999999.635162</v>
      </c>
      <c r="AQ39" s="145">
        <f t="shared" si="15"/>
        <v>8154202.4765376812</v>
      </c>
      <c r="AR39" s="146">
        <f t="shared" si="16"/>
        <v>8519999999.6351604</v>
      </c>
      <c r="AS39" s="145">
        <f t="shared" si="17"/>
        <v>14662251.401752543</v>
      </c>
      <c r="AT39" s="146">
        <f t="shared" si="18"/>
        <v>15319999999.63516</v>
      </c>
      <c r="AU39" s="145">
        <f t="shared" si="19"/>
        <v>15313056.29427403</v>
      </c>
      <c r="AV39" s="146">
        <f t="shared" si="20"/>
        <v>15999999999.635162</v>
      </c>
      <c r="AW39" s="145">
        <f t="shared" si="21"/>
        <v>7962789.2728548907</v>
      </c>
      <c r="AX39" s="146">
        <f t="shared" si="34"/>
        <v>8319999999.6351604</v>
      </c>
      <c r="AY39" s="145">
        <f t="shared" si="22"/>
        <v>14470838.198069753</v>
      </c>
      <c r="AZ39" s="146">
        <f t="shared" si="23"/>
        <v>15119999999.63516</v>
      </c>
      <c r="BA39" s="145">
        <f t="shared" si="24"/>
        <v>15121643.090591241</v>
      </c>
      <c r="BB39" s="146">
        <f t="shared" si="25"/>
        <v>15799999999.635162</v>
      </c>
    </row>
    <row r="40" spans="1:54" ht="15.75" customHeight="1">
      <c r="A40" s="130">
        <f t="shared" si="35"/>
        <v>35</v>
      </c>
      <c r="B40" s="131" t="s">
        <v>20</v>
      </c>
      <c r="C40" s="143">
        <v>23</v>
      </c>
      <c r="D40" s="133" t="str">
        <f t="shared" si="26"/>
        <v>B.23</v>
      </c>
      <c r="E40" s="134" t="s">
        <v>96</v>
      </c>
      <c r="F40" s="134">
        <v>733</v>
      </c>
      <c r="G40" s="134">
        <v>9</v>
      </c>
      <c r="H40" s="134" t="s">
        <v>97</v>
      </c>
      <c r="I40" s="135">
        <v>43705</v>
      </c>
      <c r="J40" s="136">
        <v>1204.9000000000001</v>
      </c>
      <c r="K40" s="136">
        <f t="shared" si="27"/>
        <v>50.360000000000127</v>
      </c>
      <c r="L40" s="137">
        <v>1154.54</v>
      </c>
      <c r="M40" s="138">
        <f t="shared" si="1"/>
        <v>1154.54</v>
      </c>
      <c r="N40" s="139" t="s">
        <v>104</v>
      </c>
      <c r="O40" s="134" t="s">
        <v>119</v>
      </c>
      <c r="P40" s="134" t="s">
        <v>110</v>
      </c>
      <c r="Q40" s="140" t="s">
        <v>8</v>
      </c>
      <c r="R40" s="138" t="s">
        <v>125</v>
      </c>
      <c r="S40" s="141">
        <v>12112259.999999998</v>
      </c>
      <c r="T40" s="141">
        <f t="shared" si="28"/>
        <v>13984088660.399998</v>
      </c>
      <c r="U40" s="151">
        <f t="shared" si="29"/>
        <v>850</v>
      </c>
      <c r="V40" s="141">
        <f t="shared" si="30"/>
        <v>8000000</v>
      </c>
      <c r="W40" s="141">
        <f t="shared" si="36"/>
        <v>6800000000</v>
      </c>
      <c r="X40" s="141">
        <f t="shared" si="31"/>
        <v>7480000000.000001</v>
      </c>
      <c r="Y40" s="141">
        <f t="shared" si="39"/>
        <v>18002051.605314668</v>
      </c>
      <c r="Z40" s="141">
        <f t="shared" si="2"/>
        <v>20784088660.399998</v>
      </c>
      <c r="AA40" s="141">
        <f t="shared" si="32"/>
        <v>18591030.765846137</v>
      </c>
      <c r="AB40" s="141">
        <f t="shared" si="3"/>
        <v>21464088660.399998</v>
      </c>
      <c r="AC40" s="142" t="s">
        <v>18</v>
      </c>
      <c r="AE40" s="145">
        <f t="shared" si="4"/>
        <v>11246114.175689017</v>
      </c>
      <c r="AF40" s="146">
        <f t="shared" si="33"/>
        <v>12984088660.399998</v>
      </c>
      <c r="AG40" s="145">
        <f t="shared" si="5"/>
        <v>17135905.781003688</v>
      </c>
      <c r="AH40" s="146">
        <f t="shared" si="6"/>
        <v>19784088660.399998</v>
      </c>
      <c r="AI40" s="145">
        <f t="shared" si="7"/>
        <v>17724884.941535156</v>
      </c>
      <c r="AJ40" s="146">
        <f t="shared" si="8"/>
        <v>20464088660.399998</v>
      </c>
      <c r="AK40" s="145">
        <f t="shared" si="9"/>
        <v>10899655.845964625</v>
      </c>
      <c r="AL40" s="146">
        <f t="shared" si="10"/>
        <v>12584088660.399998</v>
      </c>
      <c r="AM40" s="145">
        <f t="shared" si="11"/>
        <v>16789447.451279297</v>
      </c>
      <c r="AN40" s="146">
        <f t="shared" si="12"/>
        <v>19384088660.399998</v>
      </c>
      <c r="AO40" s="145">
        <f t="shared" si="13"/>
        <v>17378426.611810762</v>
      </c>
      <c r="AP40" s="146">
        <f t="shared" si="14"/>
        <v>20064088660.399998</v>
      </c>
      <c r="AQ40" s="145">
        <f t="shared" si="15"/>
        <v>10726426.681102429</v>
      </c>
      <c r="AR40" s="146">
        <f t="shared" si="16"/>
        <v>12384088660.399998</v>
      </c>
      <c r="AS40" s="145">
        <f t="shared" si="17"/>
        <v>16616218.286417101</v>
      </c>
      <c r="AT40" s="146">
        <f t="shared" si="18"/>
        <v>19184088660.399998</v>
      </c>
      <c r="AU40" s="145">
        <f t="shared" si="19"/>
        <v>17205197.446948566</v>
      </c>
      <c r="AV40" s="146">
        <f t="shared" si="20"/>
        <v>19864088660.399998</v>
      </c>
      <c r="AW40" s="145">
        <f t="shared" si="21"/>
        <v>10553197.516240232</v>
      </c>
      <c r="AX40" s="146">
        <f t="shared" si="34"/>
        <v>12184088660.399998</v>
      </c>
      <c r="AY40" s="145">
        <f t="shared" si="22"/>
        <v>16442989.121554904</v>
      </c>
      <c r="AZ40" s="146">
        <f t="shared" si="23"/>
        <v>18984088660.399998</v>
      </c>
      <c r="BA40" s="145">
        <f t="shared" si="24"/>
        <v>17031968.282086372</v>
      </c>
      <c r="BB40" s="146">
        <f t="shared" si="25"/>
        <v>19664088660.399998</v>
      </c>
    </row>
    <row r="41" spans="1:54" ht="15.75" customHeight="1">
      <c r="A41" s="130">
        <f t="shared" si="35"/>
        <v>36</v>
      </c>
      <c r="B41" s="131" t="s">
        <v>20</v>
      </c>
      <c r="C41" s="143">
        <v>24</v>
      </c>
      <c r="D41" s="133" t="str">
        <f t="shared" si="26"/>
        <v>B.24</v>
      </c>
      <c r="E41" s="134" t="s">
        <v>98</v>
      </c>
      <c r="F41" s="134">
        <v>734</v>
      </c>
      <c r="G41" s="134">
        <v>9</v>
      </c>
      <c r="H41" s="134" t="s">
        <v>99</v>
      </c>
      <c r="I41" s="135">
        <v>43705</v>
      </c>
      <c r="J41" s="136">
        <v>1336.2</v>
      </c>
      <c r="K41" s="136">
        <f t="shared" si="27"/>
        <v>0</v>
      </c>
      <c r="L41" s="137">
        <f>1358.64-22.44</f>
        <v>1336.2</v>
      </c>
      <c r="M41" s="138">
        <f t="shared" si="1"/>
        <v>1336.2</v>
      </c>
      <c r="N41" s="139" t="s">
        <v>104</v>
      </c>
      <c r="O41" s="134" t="s">
        <v>119</v>
      </c>
      <c r="P41" s="134" t="s">
        <v>110</v>
      </c>
      <c r="Q41" s="140" t="s">
        <v>8</v>
      </c>
      <c r="R41" s="138"/>
      <c r="S41" s="141">
        <v>12052000</v>
      </c>
      <c r="T41" s="141">
        <f t="shared" si="28"/>
        <v>16103882400</v>
      </c>
      <c r="U41" s="151">
        <f t="shared" si="29"/>
        <v>0</v>
      </c>
      <c r="V41" s="141">
        <f t="shared" si="30"/>
        <v>0</v>
      </c>
      <c r="W41" s="141">
        <f t="shared" si="36"/>
        <v>0</v>
      </c>
      <c r="X41" s="141">
        <f t="shared" si="31"/>
        <v>0</v>
      </c>
      <c r="Y41" s="141">
        <f>IF(OR(R41="Điền sản",R41=""),0,Z41/M41)</f>
        <v>0</v>
      </c>
      <c r="Z41" s="141">
        <f t="shared" si="2"/>
        <v>0</v>
      </c>
      <c r="AA41" s="141">
        <f t="shared" si="32"/>
        <v>0</v>
      </c>
      <c r="AB41" s="141">
        <f t="shared" si="3"/>
        <v>0</v>
      </c>
      <c r="AC41" s="142" t="s">
        <v>18</v>
      </c>
      <c r="AE41" s="145">
        <f t="shared" si="4"/>
        <v>11303609.04056279</v>
      </c>
      <c r="AF41" s="146">
        <f t="shared" si="33"/>
        <v>15103882400</v>
      </c>
      <c r="AG41" s="145">
        <f t="shared" si="5"/>
        <v>0</v>
      </c>
      <c r="AH41" s="146">
        <f t="shared" si="6"/>
        <v>0</v>
      </c>
      <c r="AI41" s="145">
        <f t="shared" si="7"/>
        <v>0</v>
      </c>
      <c r="AJ41" s="146">
        <f t="shared" si="8"/>
        <v>0</v>
      </c>
      <c r="AK41" s="145">
        <f t="shared" si="9"/>
        <v>11004252.656787906</v>
      </c>
      <c r="AL41" s="146">
        <f t="shared" si="10"/>
        <v>14703882400</v>
      </c>
      <c r="AM41" s="145">
        <f t="shared" si="11"/>
        <v>0</v>
      </c>
      <c r="AN41" s="146">
        <f t="shared" si="12"/>
        <v>0</v>
      </c>
      <c r="AO41" s="145">
        <f t="shared" si="13"/>
        <v>0</v>
      </c>
      <c r="AP41" s="146">
        <f t="shared" si="14"/>
        <v>0</v>
      </c>
      <c r="AQ41" s="145">
        <f t="shared" si="15"/>
        <v>10854574.464900464</v>
      </c>
      <c r="AR41" s="146">
        <f t="shared" si="16"/>
        <v>14503882400</v>
      </c>
      <c r="AS41" s="145">
        <f t="shared" si="17"/>
        <v>0</v>
      </c>
      <c r="AT41" s="146">
        <f t="shared" si="18"/>
        <v>0</v>
      </c>
      <c r="AU41" s="145">
        <f t="shared" si="19"/>
        <v>0</v>
      </c>
      <c r="AV41" s="146">
        <f t="shared" si="20"/>
        <v>0</v>
      </c>
      <c r="AW41" s="145">
        <f t="shared" si="21"/>
        <v>10704896.273013022</v>
      </c>
      <c r="AX41" s="146">
        <f t="shared" si="34"/>
        <v>14303882400</v>
      </c>
      <c r="AY41" s="145">
        <f t="shared" si="22"/>
        <v>0</v>
      </c>
      <c r="AZ41" s="146">
        <f t="shared" si="23"/>
        <v>0</v>
      </c>
      <c r="BA41" s="145">
        <f t="shared" si="24"/>
        <v>0</v>
      </c>
      <c r="BB41" s="146">
        <f t="shared" si="25"/>
        <v>0</v>
      </c>
    </row>
    <row r="44" spans="1:54">
      <c r="X44" s="205"/>
    </row>
    <row r="45" spans="1:54">
      <c r="X45" s="204"/>
    </row>
    <row r="46" spans="1:54">
      <c r="X46" s="205"/>
      <c r="AB46" s="204"/>
    </row>
    <row r="47" spans="1:54">
      <c r="X47" s="204"/>
      <c r="AB47" s="205"/>
    </row>
    <row r="48" spans="1:54">
      <c r="X48" s="205"/>
      <c r="AB48" s="205"/>
    </row>
    <row r="49" spans="28:28">
      <c r="AB49" s="204"/>
    </row>
  </sheetData>
  <autoFilter ref="A5:BB41" xr:uid="{F63FF6C4-70E9-4B1E-AA91-8FC1994D510C}"/>
  <mergeCells count="11">
    <mergeCell ref="AW3:BB3"/>
    <mergeCell ref="AE3:AJ3"/>
    <mergeCell ref="AK3:AP3"/>
    <mergeCell ref="AQ3:AV3"/>
    <mergeCell ref="A3:M3"/>
    <mergeCell ref="N3:Q3"/>
    <mergeCell ref="S3:T3"/>
    <mergeCell ref="AC3:AC4"/>
    <mergeCell ref="U3:X3"/>
    <mergeCell ref="Y3:Z3"/>
    <mergeCell ref="AA3:AB3"/>
  </mergeCells>
  <phoneticPr fontId="4" type="noConversion"/>
  <pageMargins left="0.15" right="0.16" top="0.28999999999999998" bottom="0.3" header="0.3" footer="0.3"/>
  <pageSetup paperSize="9" orientation="landscape"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6F41-19B9-5942-90D7-7E0601C932A7}">
  <sheetPr codeName="Trang_tính2"/>
  <dimension ref="A1:E134"/>
  <sheetViews>
    <sheetView workbookViewId="0">
      <selection activeCell="D5" sqref="D5"/>
    </sheetView>
  </sheetViews>
  <sheetFormatPr defaultColWidth="10.5" defaultRowHeight="15"/>
  <cols>
    <col min="1" max="1" width="12.5" style="53" customWidth="1"/>
    <col min="2" max="2" width="58.83203125" style="53" customWidth="1"/>
    <col min="3" max="3" width="18.5" style="53" customWidth="1"/>
    <col min="4" max="4" width="76.83203125" style="53" bestFit="1" customWidth="1"/>
    <col min="5" max="5" width="30.1640625" style="52" customWidth="1"/>
    <col min="6" max="6" width="16.5" style="53" bestFit="1" customWidth="1"/>
    <col min="7" max="16384" width="10.5" style="53"/>
  </cols>
  <sheetData>
    <row r="1" spans="1:5" ht="19.5">
      <c r="A1" s="282" t="s">
        <v>215</v>
      </c>
      <c r="B1" s="282"/>
      <c r="C1" s="282"/>
      <c r="D1" s="282"/>
    </row>
    <row r="2" spans="1:5" ht="19.5">
      <c r="A2" s="282" t="s">
        <v>216</v>
      </c>
      <c r="B2" s="282"/>
      <c r="C2" s="282"/>
      <c r="D2" s="282"/>
    </row>
    <row r="3" spans="1:5" ht="38.25" customHeight="1">
      <c r="A3" s="283" t="s">
        <v>316</v>
      </c>
      <c r="B3" s="283"/>
      <c r="C3" s="283"/>
      <c r="D3" s="283"/>
    </row>
    <row r="4" spans="1:5" ht="12.4" customHeight="1">
      <c r="A4" s="192"/>
      <c r="B4" s="192"/>
      <c r="C4" s="193"/>
      <c r="D4" s="193"/>
    </row>
    <row r="5" spans="1:5">
      <c r="B5" s="195" t="s">
        <v>217</v>
      </c>
    </row>
    <row r="6" spans="1:5" ht="12.4" customHeight="1">
      <c r="A6" s="192"/>
      <c r="B6" s="192"/>
      <c r="C6" s="193"/>
      <c r="D6" s="193"/>
    </row>
    <row r="7" spans="1:5" s="54" customFormat="1">
      <c r="A7" s="194" t="s">
        <v>389</v>
      </c>
      <c r="B7" s="195" t="s">
        <v>388</v>
      </c>
      <c r="E7" s="55"/>
    </row>
    <row r="8" spans="1:5" s="54" customFormat="1">
      <c r="B8" s="54" t="s">
        <v>317</v>
      </c>
      <c r="E8" s="55"/>
    </row>
    <row r="9" spans="1:5" s="54" customFormat="1">
      <c r="B9" s="53" t="s">
        <v>218</v>
      </c>
      <c r="C9" s="53"/>
      <c r="D9" s="53"/>
      <c r="E9" s="55"/>
    </row>
    <row r="10" spans="1:5" ht="12.4" customHeight="1">
      <c r="A10" s="192"/>
      <c r="B10" s="192"/>
      <c r="C10" s="193"/>
      <c r="D10" s="193"/>
    </row>
    <row r="11" spans="1:5" s="54" customFormat="1" ht="15.75" thickBot="1">
      <c r="A11" s="180" t="s">
        <v>318</v>
      </c>
      <c r="B11" s="54" t="s">
        <v>319</v>
      </c>
      <c r="E11" s="55"/>
    </row>
    <row r="12" spans="1:5" ht="30">
      <c r="A12" s="56" t="s">
        <v>114</v>
      </c>
      <c r="B12" s="57" t="s">
        <v>219</v>
      </c>
      <c r="C12" s="57" t="s">
        <v>220</v>
      </c>
      <c r="D12" s="57" t="s">
        <v>115</v>
      </c>
      <c r="E12" s="53"/>
    </row>
    <row r="13" spans="1:5">
      <c r="A13" s="58"/>
      <c r="B13" s="59" t="s">
        <v>188</v>
      </c>
      <c r="C13" s="60">
        <v>200000000</v>
      </c>
      <c r="D13" s="61" t="s">
        <v>221</v>
      </c>
      <c r="E13" s="53"/>
    </row>
    <row r="14" spans="1:5">
      <c r="A14" s="62" t="s">
        <v>222</v>
      </c>
      <c r="B14" s="59" t="s">
        <v>320</v>
      </c>
      <c r="C14" s="63">
        <v>0.2</v>
      </c>
      <c r="D14" s="61" t="s">
        <v>223</v>
      </c>
      <c r="E14" s="53"/>
    </row>
    <row r="15" spans="1:5">
      <c r="A15" s="62" t="s">
        <v>224</v>
      </c>
      <c r="B15" s="64" t="s">
        <v>321</v>
      </c>
      <c r="C15" s="63">
        <v>0.1</v>
      </c>
      <c r="D15" s="61"/>
      <c r="E15" s="53"/>
    </row>
    <row r="16" spans="1:5">
      <c r="A16" s="62" t="s">
        <v>225</v>
      </c>
      <c r="B16" s="64" t="s">
        <v>322</v>
      </c>
      <c r="C16" s="63">
        <v>0.1</v>
      </c>
      <c r="D16" s="61"/>
      <c r="E16" s="53"/>
    </row>
    <row r="17" spans="1:5">
      <c r="A17" s="62" t="s">
        <v>226</v>
      </c>
      <c r="B17" s="64" t="s">
        <v>323</v>
      </c>
      <c r="C17" s="63">
        <v>0.1</v>
      </c>
      <c r="D17" s="61"/>
      <c r="E17" s="53"/>
    </row>
    <row r="18" spans="1:5">
      <c r="A18" s="62" t="s">
        <v>227</v>
      </c>
      <c r="B18" s="64" t="s">
        <v>324</v>
      </c>
      <c r="C18" s="63">
        <v>0.1</v>
      </c>
      <c r="D18" s="61"/>
      <c r="E18" s="53"/>
    </row>
    <row r="19" spans="1:5">
      <c r="A19" s="62" t="s">
        <v>228</v>
      </c>
      <c r="B19" s="64" t="s">
        <v>325</v>
      </c>
      <c r="C19" s="63">
        <v>0.4</v>
      </c>
      <c r="D19" s="61" t="s">
        <v>229</v>
      </c>
      <c r="E19" s="53"/>
    </row>
    <row r="20" spans="1:5">
      <c r="A20" s="278" t="s">
        <v>146</v>
      </c>
      <c r="B20" s="279"/>
      <c r="C20" s="66">
        <f>SUM(C14:C19)</f>
        <v>1</v>
      </c>
      <c r="D20" s="65"/>
      <c r="E20" s="53"/>
    </row>
    <row r="21" spans="1:5" ht="30.75" thickBot="1">
      <c r="A21" s="280" t="s">
        <v>231</v>
      </c>
      <c r="B21" s="281"/>
      <c r="C21" s="179">
        <v>200000000</v>
      </c>
      <c r="D21" s="67" t="s">
        <v>326</v>
      </c>
      <c r="E21" s="53"/>
    </row>
    <row r="22" spans="1:5" ht="12.4" customHeight="1">
      <c r="A22" s="192"/>
      <c r="B22" s="192"/>
      <c r="C22" s="193"/>
      <c r="D22" s="193"/>
    </row>
    <row r="23" spans="1:5" ht="15.75" thickBot="1">
      <c r="A23" s="180" t="s">
        <v>330</v>
      </c>
      <c r="B23" s="54" t="s">
        <v>331</v>
      </c>
      <c r="C23" s="54"/>
      <c r="D23" s="54"/>
    </row>
    <row r="24" spans="1:5" ht="30">
      <c r="A24" s="56" t="s">
        <v>114</v>
      </c>
      <c r="B24" s="57" t="s">
        <v>219</v>
      </c>
      <c r="C24" s="57" t="s">
        <v>220</v>
      </c>
      <c r="D24" s="57" t="s">
        <v>115</v>
      </c>
    </row>
    <row r="25" spans="1:5">
      <c r="A25" s="58"/>
      <c r="B25" s="59" t="s">
        <v>188</v>
      </c>
      <c r="C25" s="60">
        <v>200000000</v>
      </c>
      <c r="D25" s="61" t="s">
        <v>221</v>
      </c>
    </row>
    <row r="26" spans="1:5">
      <c r="A26" s="62" t="s">
        <v>222</v>
      </c>
      <c r="B26" s="59" t="str">
        <f>$B$14</f>
        <v>Trong vòng 10 ngày kể từ ngày cọc</v>
      </c>
      <c r="C26" s="63">
        <v>0.5</v>
      </c>
      <c r="D26" s="61" t="s">
        <v>229</v>
      </c>
    </row>
    <row r="27" spans="1:5" ht="30">
      <c r="A27" s="62" t="s">
        <v>224</v>
      </c>
      <c r="B27" s="64" t="s">
        <v>327</v>
      </c>
      <c r="C27" s="63">
        <v>0.5</v>
      </c>
      <c r="D27" s="61" t="s">
        <v>230</v>
      </c>
    </row>
    <row r="28" spans="1:5">
      <c r="A28" s="278" t="s">
        <v>146</v>
      </c>
      <c r="B28" s="279"/>
      <c r="C28" s="66">
        <f>SUM(C26:C27)</f>
        <v>1</v>
      </c>
      <c r="D28" s="65"/>
    </row>
    <row r="29" spans="1:5" ht="30.75" thickBot="1">
      <c r="A29" s="280" t="s">
        <v>231</v>
      </c>
      <c r="B29" s="281"/>
      <c r="C29" s="179">
        <v>600000000</v>
      </c>
      <c r="D29" s="67" t="s">
        <v>328</v>
      </c>
    </row>
    <row r="30" spans="1:5" ht="12.4" customHeight="1">
      <c r="A30" s="192"/>
      <c r="B30" s="192"/>
      <c r="C30" s="193"/>
      <c r="D30" s="193"/>
    </row>
    <row r="31" spans="1:5" s="54" customFormat="1" ht="15.75" thickBot="1">
      <c r="A31" s="180" t="s">
        <v>332</v>
      </c>
      <c r="B31" s="54" t="s">
        <v>333</v>
      </c>
      <c r="E31" s="55"/>
    </row>
    <row r="32" spans="1:5" ht="30">
      <c r="A32" s="56" t="s">
        <v>114</v>
      </c>
      <c r="B32" s="57" t="s">
        <v>219</v>
      </c>
      <c r="C32" s="57" t="s">
        <v>220</v>
      </c>
      <c r="D32" s="57" t="s">
        <v>115</v>
      </c>
      <c r="E32" s="53"/>
    </row>
    <row r="33" spans="1:5">
      <c r="A33" s="58"/>
      <c r="B33" s="59" t="s">
        <v>188</v>
      </c>
      <c r="C33" s="60">
        <v>200000000</v>
      </c>
      <c r="D33" s="61" t="s">
        <v>221</v>
      </c>
      <c r="E33" s="53"/>
    </row>
    <row r="34" spans="1:5">
      <c r="A34" s="62" t="s">
        <v>222</v>
      </c>
      <c r="B34" s="59" t="str">
        <f>$B$26</f>
        <v>Trong vòng 10 ngày kể từ ngày cọc</v>
      </c>
      <c r="C34" s="63">
        <v>0.7</v>
      </c>
      <c r="D34" s="61" t="s">
        <v>229</v>
      </c>
      <c r="E34" s="53"/>
    </row>
    <row r="35" spans="1:5" ht="30">
      <c r="A35" s="62" t="s">
        <v>224</v>
      </c>
      <c r="B35" s="64" t="str">
        <f>$B$27</f>
        <v>Trong vòng 12 tháng kể từ ngày ký HĐ chuyển nhượng QSDĐ</v>
      </c>
      <c r="C35" s="63">
        <v>0.3</v>
      </c>
      <c r="D35" s="61" t="s">
        <v>230</v>
      </c>
      <c r="E35" s="53"/>
    </row>
    <row r="36" spans="1:5">
      <c r="A36" s="278" t="s">
        <v>146</v>
      </c>
      <c r="B36" s="279"/>
      <c r="C36" s="66">
        <f>SUM(C34:C35)</f>
        <v>1</v>
      </c>
      <c r="D36" s="65"/>
      <c r="E36" s="53"/>
    </row>
    <row r="37" spans="1:5" ht="30.75" thickBot="1">
      <c r="A37" s="280" t="s">
        <v>231</v>
      </c>
      <c r="B37" s="281"/>
      <c r="C37" s="179">
        <v>800000000</v>
      </c>
      <c r="D37" s="67" t="s">
        <v>328</v>
      </c>
      <c r="E37" s="53"/>
    </row>
    <row r="38" spans="1:5" ht="12.4" customHeight="1">
      <c r="A38" s="192"/>
      <c r="B38" s="192"/>
      <c r="C38" s="193"/>
      <c r="D38" s="193"/>
    </row>
    <row r="39" spans="1:5" s="54" customFormat="1" ht="15.75" thickBot="1">
      <c r="A39" s="180" t="s">
        <v>334</v>
      </c>
      <c r="B39" s="54" t="s">
        <v>335</v>
      </c>
      <c r="E39" s="55"/>
    </row>
    <row r="40" spans="1:5" ht="30">
      <c r="A40" s="56" t="s">
        <v>114</v>
      </c>
      <c r="B40" s="57" t="s">
        <v>219</v>
      </c>
      <c r="C40" s="57" t="s">
        <v>220</v>
      </c>
      <c r="D40" s="57" t="s">
        <v>115</v>
      </c>
      <c r="E40" s="53"/>
    </row>
    <row r="41" spans="1:5">
      <c r="A41" s="58"/>
      <c r="B41" s="59" t="s">
        <v>188</v>
      </c>
      <c r="C41" s="60">
        <v>500000000</v>
      </c>
      <c r="D41" s="61" t="s">
        <v>221</v>
      </c>
      <c r="E41" s="53"/>
    </row>
    <row r="42" spans="1:5">
      <c r="A42" s="62" t="s">
        <v>222</v>
      </c>
      <c r="B42" s="59" t="s">
        <v>329</v>
      </c>
      <c r="C42" s="63">
        <v>1</v>
      </c>
      <c r="D42" s="61" t="s">
        <v>229</v>
      </c>
      <c r="E42" s="53"/>
    </row>
    <row r="43" spans="1:5">
      <c r="A43" s="278" t="s">
        <v>146</v>
      </c>
      <c r="B43" s="279"/>
      <c r="C43" s="66">
        <f>SUM(C42:C42)</f>
        <v>1</v>
      </c>
      <c r="D43" s="65"/>
      <c r="E43" s="53"/>
    </row>
    <row r="44" spans="1:5" ht="30.75" thickBot="1">
      <c r="A44" s="280" t="s">
        <v>231</v>
      </c>
      <c r="B44" s="281"/>
      <c r="C44" s="179">
        <v>1000000000</v>
      </c>
      <c r="D44" s="67" t="s">
        <v>328</v>
      </c>
      <c r="E44" s="53"/>
    </row>
    <row r="45" spans="1:5" ht="12.4" customHeight="1">
      <c r="A45" s="192"/>
      <c r="B45" s="192"/>
      <c r="C45" s="193"/>
      <c r="D45" s="193"/>
    </row>
    <row r="46" spans="1:5" s="54" customFormat="1" ht="15.75" thickBot="1">
      <c r="A46" s="180" t="s">
        <v>336</v>
      </c>
      <c r="B46" s="54" t="s">
        <v>337</v>
      </c>
      <c r="E46" s="55"/>
    </row>
    <row r="47" spans="1:5" ht="30">
      <c r="A47" s="56" t="s">
        <v>114</v>
      </c>
      <c r="B47" s="57" t="s">
        <v>219</v>
      </c>
      <c r="C47" s="57" t="s">
        <v>220</v>
      </c>
      <c r="D47" s="187" t="s">
        <v>115</v>
      </c>
      <c r="E47" s="53"/>
    </row>
    <row r="48" spans="1:5">
      <c r="A48" s="62" t="s">
        <v>222</v>
      </c>
      <c r="B48" s="59" t="s">
        <v>342</v>
      </c>
      <c r="C48" s="63">
        <v>0.3</v>
      </c>
      <c r="D48" s="188" t="s">
        <v>392</v>
      </c>
      <c r="E48" s="53"/>
    </row>
    <row r="49" spans="1:5">
      <c r="A49" s="62" t="s">
        <v>224</v>
      </c>
      <c r="B49" s="59" t="s">
        <v>338</v>
      </c>
      <c r="C49" s="63">
        <v>0.15</v>
      </c>
      <c r="D49" s="188" t="s">
        <v>343</v>
      </c>
      <c r="E49" s="53"/>
    </row>
    <row r="50" spans="1:5">
      <c r="A50" s="62" t="s">
        <v>225</v>
      </c>
      <c r="B50" s="59" t="s">
        <v>339</v>
      </c>
      <c r="C50" s="63">
        <v>0.2</v>
      </c>
      <c r="D50" s="188" t="s">
        <v>344</v>
      </c>
      <c r="E50" s="53"/>
    </row>
    <row r="51" spans="1:5">
      <c r="A51" s="62" t="s">
        <v>226</v>
      </c>
      <c r="B51" s="59" t="s">
        <v>340</v>
      </c>
      <c r="C51" s="63">
        <v>0.2</v>
      </c>
      <c r="D51" s="188" t="s">
        <v>345</v>
      </c>
      <c r="E51" s="53"/>
    </row>
    <row r="52" spans="1:5">
      <c r="A52" s="62" t="s">
        <v>227</v>
      </c>
      <c r="B52" s="59" t="s">
        <v>341</v>
      </c>
      <c r="C52" s="63">
        <v>0.15</v>
      </c>
      <c r="D52" s="188" t="s">
        <v>346</v>
      </c>
      <c r="E52" s="53"/>
    </row>
    <row r="53" spans="1:5" ht="15.75" thickBot="1">
      <c r="A53" s="280" t="s">
        <v>146</v>
      </c>
      <c r="B53" s="281"/>
      <c r="C53" s="189">
        <f>SUM(C48:C52)</f>
        <v>0.99999999999999989</v>
      </c>
      <c r="D53" s="190"/>
      <c r="E53" s="53"/>
    </row>
    <row r="54" spans="1:5" ht="12.4" customHeight="1">
      <c r="A54" s="192"/>
      <c r="B54" s="192"/>
      <c r="C54" s="193"/>
      <c r="D54" s="193"/>
    </row>
    <row r="55" spans="1:5" s="54" customFormat="1">
      <c r="A55" s="180" t="s">
        <v>347</v>
      </c>
      <c r="B55" s="54" t="s">
        <v>348</v>
      </c>
      <c r="E55" s="55"/>
    </row>
    <row r="56" spans="1:5" s="54" customFormat="1">
      <c r="B56" s="54" t="s">
        <v>232</v>
      </c>
      <c r="E56" s="55"/>
    </row>
    <row r="57" spans="1:5" ht="30.75" customHeight="1">
      <c r="B57" s="284" t="s">
        <v>233</v>
      </c>
      <c r="C57" s="284"/>
      <c r="D57" s="284"/>
    </row>
    <row r="58" spans="1:5" ht="12.4" customHeight="1">
      <c r="A58" s="192"/>
      <c r="B58" s="192"/>
      <c r="C58" s="193"/>
      <c r="D58" s="193"/>
    </row>
    <row r="59" spans="1:5">
      <c r="A59" s="181" t="s">
        <v>350</v>
      </c>
      <c r="B59" s="182" t="s">
        <v>351</v>
      </c>
      <c r="C59" s="69"/>
      <c r="D59" s="69"/>
    </row>
    <row r="60" spans="1:5">
      <c r="B60" s="183" t="s">
        <v>349</v>
      </c>
    </row>
    <row r="61" spans="1:5">
      <c r="B61" s="73" t="s">
        <v>352</v>
      </c>
    </row>
    <row r="62" spans="1:5">
      <c r="B62" s="53" t="s">
        <v>418</v>
      </c>
    </row>
    <row r="63" spans="1:5">
      <c r="B63" s="53" t="s">
        <v>419</v>
      </c>
    </row>
    <row r="64" spans="1:5">
      <c r="B64" s="53" t="s">
        <v>420</v>
      </c>
    </row>
    <row r="65" spans="1:5">
      <c r="B65" s="53" t="s">
        <v>421</v>
      </c>
    </row>
    <row r="66" spans="1:5">
      <c r="B66" s="53" t="s">
        <v>422</v>
      </c>
    </row>
    <row r="67" spans="1:5" s="70" customFormat="1" ht="48" customHeight="1">
      <c r="B67" s="287" t="s">
        <v>353</v>
      </c>
      <c r="C67" s="287"/>
      <c r="D67" s="287"/>
      <c r="E67" s="184"/>
    </row>
    <row r="68" spans="1:5" ht="12.4" customHeight="1">
      <c r="A68" s="192"/>
      <c r="B68" s="192"/>
      <c r="C68" s="193"/>
      <c r="D68" s="193"/>
    </row>
    <row r="69" spans="1:5">
      <c r="A69" s="181" t="s">
        <v>355</v>
      </c>
      <c r="B69" s="68" t="s">
        <v>354</v>
      </c>
      <c r="C69" s="69"/>
      <c r="D69" s="69"/>
    </row>
    <row r="70" spans="1:5">
      <c r="A70" s="73"/>
      <c r="B70" s="185" t="s">
        <v>356</v>
      </c>
    </row>
    <row r="71" spans="1:5" ht="33" customHeight="1">
      <c r="B71" s="284" t="s">
        <v>357</v>
      </c>
      <c r="C71" s="284"/>
      <c r="D71" s="284"/>
    </row>
    <row r="72" spans="1:5">
      <c r="A72" s="73"/>
      <c r="B72" s="186" t="s">
        <v>370</v>
      </c>
    </row>
    <row r="73" spans="1:5" ht="30">
      <c r="B73" s="196" t="s">
        <v>366</v>
      </c>
      <c r="C73" s="196" t="s">
        <v>358</v>
      </c>
      <c r="D73" s="196" t="s">
        <v>362</v>
      </c>
    </row>
    <row r="74" spans="1:5" ht="17.25" customHeight="1">
      <c r="A74" s="192"/>
      <c r="B74" s="197" t="s">
        <v>367</v>
      </c>
      <c r="C74" s="197" t="s">
        <v>359</v>
      </c>
      <c r="D74" s="197" t="s">
        <v>363</v>
      </c>
    </row>
    <row r="75" spans="1:5" ht="17.25" customHeight="1">
      <c r="A75" s="192"/>
      <c r="B75" s="197" t="s">
        <v>368</v>
      </c>
      <c r="C75" s="197" t="s">
        <v>360</v>
      </c>
      <c r="D75" s="197" t="s">
        <v>364</v>
      </c>
    </row>
    <row r="76" spans="1:5" ht="17.25" customHeight="1">
      <c r="A76" s="192"/>
      <c r="B76" s="197" t="s">
        <v>369</v>
      </c>
      <c r="C76" s="197" t="s">
        <v>361</v>
      </c>
      <c r="D76" s="197" t="s">
        <v>365</v>
      </c>
    </row>
    <row r="77" spans="1:5" ht="17.25" customHeight="1">
      <c r="A77" s="192"/>
      <c r="B77" s="186" t="s">
        <v>371</v>
      </c>
      <c r="C77" s="198"/>
      <c r="D77" s="199"/>
    </row>
    <row r="78" spans="1:5" ht="17.25" customHeight="1">
      <c r="A78" s="192"/>
      <c r="B78" s="196" t="s">
        <v>372</v>
      </c>
      <c r="C78" s="196" t="s">
        <v>373</v>
      </c>
      <c r="D78" s="196" t="s">
        <v>113</v>
      </c>
      <c r="E78" s="191"/>
    </row>
    <row r="79" spans="1:5" ht="17.25" customHeight="1">
      <c r="A79" s="192"/>
      <c r="B79" s="200" t="s">
        <v>378</v>
      </c>
      <c r="C79" s="197" t="s">
        <v>374</v>
      </c>
      <c r="D79" s="285" t="s">
        <v>377</v>
      </c>
      <c r="E79" s="191"/>
    </row>
    <row r="80" spans="1:5" ht="17.25" customHeight="1">
      <c r="A80" s="192"/>
      <c r="B80" s="200" t="s">
        <v>379</v>
      </c>
      <c r="C80" s="197" t="s">
        <v>375</v>
      </c>
      <c r="D80" s="285"/>
      <c r="E80" s="191"/>
    </row>
    <row r="81" spans="1:5" ht="30" customHeight="1">
      <c r="A81" s="192"/>
      <c r="B81" s="201" t="s">
        <v>380</v>
      </c>
      <c r="C81" s="197" t="s">
        <v>376</v>
      </c>
      <c r="D81" s="285"/>
      <c r="E81" s="191"/>
    </row>
    <row r="82" spans="1:5" ht="17.25" customHeight="1">
      <c r="A82" s="192"/>
      <c r="B82" s="186" t="s">
        <v>381</v>
      </c>
      <c r="C82" s="198"/>
      <c r="D82" s="199"/>
    </row>
    <row r="83" spans="1:5" ht="62.25" customHeight="1">
      <c r="A83" s="192"/>
      <c r="B83" s="286" t="s">
        <v>382</v>
      </c>
      <c r="C83" s="284"/>
      <c r="D83" s="284"/>
    </row>
    <row r="84" spans="1:5" ht="17.25" customHeight="1">
      <c r="A84" s="192"/>
      <c r="B84" s="186" t="s">
        <v>383</v>
      </c>
      <c r="C84" s="198"/>
      <c r="D84" s="199"/>
    </row>
    <row r="85" spans="1:5" ht="45.75" customHeight="1">
      <c r="A85" s="192"/>
      <c r="B85" s="286" t="s">
        <v>384</v>
      </c>
      <c r="C85" s="284"/>
      <c r="D85" s="284"/>
    </row>
    <row r="86" spans="1:5" ht="12.4" customHeight="1">
      <c r="A86" s="192"/>
      <c r="B86" s="192"/>
      <c r="C86" s="193"/>
      <c r="D86" s="193"/>
    </row>
    <row r="87" spans="1:5" ht="17.25" customHeight="1">
      <c r="A87" s="194" t="s">
        <v>386</v>
      </c>
      <c r="B87" s="195" t="s">
        <v>385</v>
      </c>
      <c r="C87" s="198"/>
      <c r="D87" s="199"/>
    </row>
    <row r="88" spans="1:5" ht="17.25" customHeight="1" thickBot="1">
      <c r="A88" s="180" t="str">
        <f>$A$11</f>
        <v>1.</v>
      </c>
      <c r="B88" s="54" t="s">
        <v>390</v>
      </c>
      <c r="C88" s="198"/>
      <c r="D88" s="199"/>
    </row>
    <row r="89" spans="1:5" ht="30">
      <c r="A89" s="56" t="s">
        <v>114</v>
      </c>
      <c r="B89" s="57" t="s">
        <v>219</v>
      </c>
      <c r="C89" s="57" t="s">
        <v>220</v>
      </c>
      <c r="D89" s="187" t="s">
        <v>115</v>
      </c>
    </row>
    <row r="90" spans="1:5" ht="17.25" customHeight="1">
      <c r="A90" s="58"/>
      <c r="B90" s="59" t="s">
        <v>188</v>
      </c>
      <c r="C90" s="60">
        <v>200000000</v>
      </c>
      <c r="D90" s="188" t="s">
        <v>221</v>
      </c>
    </row>
    <row r="91" spans="1:5" ht="17.25" customHeight="1">
      <c r="A91" s="62" t="s">
        <v>222</v>
      </c>
      <c r="B91" s="59" t="s">
        <v>320</v>
      </c>
      <c r="C91" s="63">
        <v>0.3</v>
      </c>
      <c r="D91" s="188" t="s">
        <v>223</v>
      </c>
    </row>
    <row r="92" spans="1:5" ht="17.25" customHeight="1">
      <c r="A92" s="62" t="s">
        <v>224</v>
      </c>
      <c r="B92" s="64" t="s">
        <v>322</v>
      </c>
      <c r="C92" s="63">
        <v>0.3</v>
      </c>
      <c r="D92" s="188"/>
    </row>
    <row r="93" spans="1:5" ht="17.25" customHeight="1">
      <c r="A93" s="62" t="s">
        <v>225</v>
      </c>
      <c r="B93" s="64" t="s">
        <v>324</v>
      </c>
      <c r="C93" s="63">
        <v>0.2</v>
      </c>
      <c r="D93" s="188"/>
    </row>
    <row r="94" spans="1:5" ht="17.25" customHeight="1">
      <c r="A94" s="62" t="s">
        <v>226</v>
      </c>
      <c r="B94" s="64" t="s">
        <v>325</v>
      </c>
      <c r="C94" s="63">
        <v>0.2</v>
      </c>
      <c r="D94" s="188" t="s">
        <v>229</v>
      </c>
    </row>
    <row r="95" spans="1:5" ht="17.25" customHeight="1" thickBot="1">
      <c r="A95" s="280" t="s">
        <v>146</v>
      </c>
      <c r="B95" s="281"/>
      <c r="C95" s="189">
        <f>SUM(C91:C94)</f>
        <v>1</v>
      </c>
      <c r="D95" s="190"/>
    </row>
    <row r="96" spans="1:5" ht="12.4" customHeight="1">
      <c r="A96" s="192"/>
      <c r="B96" s="192"/>
      <c r="C96" s="193"/>
      <c r="D96" s="193"/>
    </row>
    <row r="97" spans="1:4" ht="17.25" customHeight="1" thickBot="1">
      <c r="A97" s="180" t="str">
        <f>$A$23</f>
        <v xml:space="preserve">2. </v>
      </c>
      <c r="B97" s="54" t="s">
        <v>391</v>
      </c>
      <c r="C97" s="198"/>
      <c r="D97" s="199"/>
    </row>
    <row r="98" spans="1:4" ht="30">
      <c r="A98" s="56" t="s">
        <v>114</v>
      </c>
      <c r="B98" s="57" t="s">
        <v>219</v>
      </c>
      <c r="C98" s="57" t="s">
        <v>220</v>
      </c>
      <c r="D98" s="187" t="s">
        <v>115</v>
      </c>
    </row>
    <row r="99" spans="1:4" ht="17.25" customHeight="1">
      <c r="A99" s="62" t="s">
        <v>222</v>
      </c>
      <c r="B99" s="59" t="str">
        <f>$B$48</f>
        <v>Ký Hợp đồng thi công</v>
      </c>
      <c r="C99" s="63">
        <v>0.3</v>
      </c>
      <c r="D99" s="188" t="str">
        <f>$D$48</f>
        <v>Sau 4 tháng kể từ ngày ký HĐ đặt cọc</v>
      </c>
    </row>
    <row r="100" spans="1:4" ht="17.25" customHeight="1">
      <c r="A100" s="62" t="s">
        <v>224</v>
      </c>
      <c r="B100" s="59" t="s">
        <v>339</v>
      </c>
      <c r="C100" s="63">
        <v>0.3</v>
      </c>
      <c r="D100" s="188" t="s">
        <v>344</v>
      </c>
    </row>
    <row r="101" spans="1:4" ht="17.25" customHeight="1">
      <c r="A101" s="62" t="s">
        <v>225</v>
      </c>
      <c r="B101" s="59" t="s">
        <v>341</v>
      </c>
      <c r="C101" s="63">
        <v>0.2</v>
      </c>
      <c r="D101" s="188" t="s">
        <v>345</v>
      </c>
    </row>
    <row r="102" spans="1:4" ht="17.25" customHeight="1">
      <c r="A102" s="62" t="s">
        <v>226</v>
      </c>
      <c r="B102" s="59" t="s">
        <v>393</v>
      </c>
      <c r="C102" s="63">
        <v>0.2</v>
      </c>
      <c r="D102" s="188" t="s">
        <v>346</v>
      </c>
    </row>
    <row r="103" spans="1:4" ht="17.25" customHeight="1" thickBot="1">
      <c r="A103" s="280" t="s">
        <v>146</v>
      </c>
      <c r="B103" s="281"/>
      <c r="C103" s="189">
        <f>SUM(C99:C102)</f>
        <v>1</v>
      </c>
      <c r="D103" s="190"/>
    </row>
    <row r="104" spans="1:4" ht="17.25" customHeight="1">
      <c r="A104" s="194"/>
      <c r="B104" s="195"/>
      <c r="C104" s="198"/>
      <c r="D104" s="199"/>
    </row>
    <row r="105" spans="1:4" ht="17.25" customHeight="1">
      <c r="A105" s="180" t="str">
        <f>$A$31</f>
        <v>3.</v>
      </c>
      <c r="B105" s="54" t="s">
        <v>394</v>
      </c>
      <c r="C105" s="198"/>
      <c r="D105" s="199"/>
    </row>
    <row r="106" spans="1:4" ht="17.25" customHeight="1" thickBot="1">
      <c r="A106" s="194"/>
      <c r="B106" s="53" t="s">
        <v>405</v>
      </c>
      <c r="C106" s="198"/>
      <c r="D106" s="199"/>
    </row>
    <row r="107" spans="1:4" ht="17.25" customHeight="1">
      <c r="A107" s="194"/>
      <c r="B107" s="202" t="s">
        <v>395</v>
      </c>
      <c r="C107" s="288" t="s">
        <v>396</v>
      </c>
      <c r="D107" s="289"/>
    </row>
    <row r="108" spans="1:4" ht="17.25" customHeight="1">
      <c r="A108" s="194"/>
      <c r="B108" s="203" t="s">
        <v>397</v>
      </c>
      <c r="C108" s="290" t="s">
        <v>398</v>
      </c>
      <c r="D108" s="291"/>
    </row>
    <row r="109" spans="1:4" ht="17.25" customHeight="1">
      <c r="A109" s="194"/>
      <c r="B109" s="203" t="s">
        <v>399</v>
      </c>
      <c r="C109" s="290" t="s">
        <v>400</v>
      </c>
      <c r="D109" s="291"/>
    </row>
    <row r="110" spans="1:4" ht="17.25" customHeight="1">
      <c r="A110" s="194"/>
      <c r="B110" s="203" t="s">
        <v>401</v>
      </c>
      <c r="C110" s="290" t="s">
        <v>402</v>
      </c>
      <c r="D110" s="291"/>
    </row>
    <row r="111" spans="1:4" ht="17.25" customHeight="1">
      <c r="A111" s="194"/>
      <c r="B111" s="203" t="s">
        <v>403</v>
      </c>
      <c r="C111" s="290" t="s">
        <v>404</v>
      </c>
      <c r="D111" s="291"/>
    </row>
    <row r="112" spans="1:4" ht="30" customHeight="1" thickBot="1">
      <c r="A112" s="194"/>
      <c r="B112" s="292" t="s">
        <v>429</v>
      </c>
      <c r="C112" s="293"/>
      <c r="D112" s="294"/>
    </row>
    <row r="113" spans="1:5" ht="12.4" customHeight="1">
      <c r="A113" s="192"/>
      <c r="B113" s="192"/>
      <c r="C113" s="193"/>
      <c r="D113" s="193"/>
    </row>
    <row r="114" spans="1:5" s="54" customFormat="1">
      <c r="A114" s="194" t="s">
        <v>387</v>
      </c>
      <c r="B114" s="195" t="s">
        <v>406</v>
      </c>
      <c r="E114" s="55"/>
    </row>
    <row r="115" spans="1:5" ht="12.4" customHeight="1">
      <c r="A115" s="192"/>
      <c r="B115" s="192"/>
      <c r="C115" s="193"/>
      <c r="D115" s="193"/>
    </row>
    <row r="116" spans="1:5">
      <c r="A116" s="180" t="str">
        <f>$A$88</f>
        <v>1.</v>
      </c>
      <c r="B116" s="68" t="s">
        <v>407</v>
      </c>
      <c r="C116" s="69"/>
      <c r="D116" s="69"/>
    </row>
    <row r="117" spans="1:5">
      <c r="B117" s="53" t="s">
        <v>408</v>
      </c>
    </row>
    <row r="118" spans="1:5" s="54" customFormat="1">
      <c r="B118" s="53" t="s">
        <v>423</v>
      </c>
      <c r="D118" s="55"/>
      <c r="E118" s="55"/>
    </row>
    <row r="119" spans="1:5" s="54" customFormat="1">
      <c r="B119" s="53" t="s">
        <v>424</v>
      </c>
      <c r="D119" s="55"/>
      <c r="E119" s="55"/>
    </row>
    <row r="120" spans="1:5" s="54" customFormat="1">
      <c r="B120" s="53" t="s">
        <v>409</v>
      </c>
      <c r="D120" s="55"/>
      <c r="E120" s="55"/>
    </row>
    <row r="121" spans="1:5" s="70" customFormat="1">
      <c r="B121" s="70" t="s">
        <v>410</v>
      </c>
      <c r="E121" s="71"/>
    </row>
    <row r="122" spans="1:5" ht="12.4" customHeight="1">
      <c r="B122" s="192"/>
      <c r="C122" s="193"/>
      <c r="D122" s="193"/>
    </row>
    <row r="123" spans="1:5" s="54" customFormat="1">
      <c r="A123" s="180" t="str">
        <f>$A$97</f>
        <v xml:space="preserve">2. </v>
      </c>
      <c r="B123" s="54" t="s">
        <v>411</v>
      </c>
      <c r="D123" s="55"/>
      <c r="E123" s="55"/>
    </row>
    <row r="124" spans="1:5">
      <c r="B124" s="53" t="s">
        <v>413</v>
      </c>
    </row>
    <row r="125" spans="1:5">
      <c r="B125" s="53" t="s">
        <v>425</v>
      </c>
      <c r="C125" s="69"/>
      <c r="D125" s="69"/>
    </row>
    <row r="126" spans="1:5">
      <c r="B126" s="53" t="s">
        <v>426</v>
      </c>
    </row>
    <row r="127" spans="1:5">
      <c r="B127" s="53" t="s">
        <v>427</v>
      </c>
    </row>
    <row r="128" spans="1:5" s="70" customFormat="1" ht="32.25" customHeight="1">
      <c r="B128" s="287" t="s">
        <v>414</v>
      </c>
      <c r="C128" s="287"/>
      <c r="D128" s="287"/>
      <c r="E128" s="71"/>
    </row>
    <row r="129" spans="1:4" ht="12.4" customHeight="1">
      <c r="B129" s="192"/>
      <c r="C129" s="193"/>
      <c r="D129" s="193"/>
    </row>
    <row r="130" spans="1:4">
      <c r="A130" s="180" t="str">
        <f>$A$105</f>
        <v>3.</v>
      </c>
      <c r="B130" s="72" t="s">
        <v>412</v>
      </c>
    </row>
    <row r="131" spans="1:4">
      <c r="B131" s="53" t="s">
        <v>415</v>
      </c>
    </row>
    <row r="132" spans="1:4">
      <c r="B132" s="53" t="s">
        <v>428</v>
      </c>
      <c r="C132" s="69"/>
      <c r="D132" s="69"/>
    </row>
    <row r="133" spans="1:4">
      <c r="B133" s="53" t="s">
        <v>416</v>
      </c>
    </row>
    <row r="134" spans="1:4">
      <c r="B134" s="53" t="s">
        <v>417</v>
      </c>
    </row>
  </sheetData>
  <mergeCells count="27">
    <mergeCell ref="B128:D128"/>
    <mergeCell ref="A95:B95"/>
    <mergeCell ref="A103:B103"/>
    <mergeCell ref="C107:D107"/>
    <mergeCell ref="C108:D108"/>
    <mergeCell ref="C109:D109"/>
    <mergeCell ref="C110:D110"/>
    <mergeCell ref="C111:D111"/>
    <mergeCell ref="B112:D112"/>
    <mergeCell ref="B71:D71"/>
    <mergeCell ref="D79:D81"/>
    <mergeCell ref="B83:D83"/>
    <mergeCell ref="B85:D85"/>
    <mergeCell ref="A53:B53"/>
    <mergeCell ref="B67:D67"/>
    <mergeCell ref="B57:D57"/>
    <mergeCell ref="A1:D1"/>
    <mergeCell ref="A2:D2"/>
    <mergeCell ref="A3:D3"/>
    <mergeCell ref="A20:B20"/>
    <mergeCell ref="A21:B21"/>
    <mergeCell ref="A36:B36"/>
    <mergeCell ref="A37:B37"/>
    <mergeCell ref="A43:B43"/>
    <mergeCell ref="A44:B44"/>
    <mergeCell ref="A28:B28"/>
    <mergeCell ref="A29:B29"/>
  </mergeCells>
  <phoneticPr fontId="4" type="noConversion"/>
  <conditionalFormatting sqref="E4 E54 E58 E68 E74:E77">
    <cfRule type="expression" dxfId="84" priority="106">
      <formula>$Y4="Khóa"</formula>
    </cfRule>
    <cfRule type="expression" dxfId="83" priority="107">
      <formula>$Y4="GDTC GD3"</formula>
    </cfRule>
    <cfRule type="expression" dxfId="82" priority="108">
      <formula>$Y4="GDTC GD2"</formula>
    </cfRule>
    <cfRule type="expression" dxfId="81" priority="109">
      <formula>$Y4="GDTC GD1"</formula>
    </cfRule>
    <cfRule type="expression" dxfId="80" priority="110">
      <formula>$Y4="CỌC GD3"</formula>
    </cfRule>
    <cfRule type="expression" dxfId="79" priority="111">
      <formula>$Y4="CỌC GD4"</formula>
    </cfRule>
    <cfRule type="expression" dxfId="78" priority="112">
      <formula>$Y4="GDTC GD4"</formula>
    </cfRule>
  </conditionalFormatting>
  <conditionalFormatting sqref="E6">
    <cfRule type="expression" dxfId="77" priority="99">
      <formula>$Y6="Khóa"</formula>
    </cfRule>
    <cfRule type="expression" dxfId="76" priority="100">
      <formula>$Y6="GDTC GD3"</formula>
    </cfRule>
    <cfRule type="expression" dxfId="75" priority="101">
      <formula>$Y6="GDTC GD2"</formula>
    </cfRule>
    <cfRule type="expression" dxfId="74" priority="102">
      <formula>$Y6="GDTC GD1"</formula>
    </cfRule>
    <cfRule type="expression" dxfId="73" priority="103">
      <formula>$Y6="CỌC GD3"</formula>
    </cfRule>
    <cfRule type="expression" dxfId="72" priority="104">
      <formula>$Y6="CỌC GD4"</formula>
    </cfRule>
    <cfRule type="expression" dxfId="71" priority="105">
      <formula>$Y6="GDTC GD4"</formula>
    </cfRule>
  </conditionalFormatting>
  <conditionalFormatting sqref="E10">
    <cfRule type="expression" dxfId="70" priority="92">
      <formula>$Y10="Khóa"</formula>
    </cfRule>
    <cfRule type="expression" dxfId="69" priority="93">
      <formula>$Y10="GDTC GD3"</formula>
    </cfRule>
    <cfRule type="expression" dxfId="68" priority="94">
      <formula>$Y10="GDTC GD2"</formula>
    </cfRule>
    <cfRule type="expression" dxfId="67" priority="95">
      <formula>$Y10="GDTC GD1"</formula>
    </cfRule>
    <cfRule type="expression" dxfId="66" priority="96">
      <formula>$Y10="CỌC GD3"</formula>
    </cfRule>
    <cfRule type="expression" dxfId="65" priority="97">
      <formula>$Y10="CỌC GD4"</formula>
    </cfRule>
    <cfRule type="expression" dxfId="64" priority="98">
      <formula>$Y10="GDTC GD4"</formula>
    </cfRule>
  </conditionalFormatting>
  <conditionalFormatting sqref="E22">
    <cfRule type="expression" dxfId="63" priority="85">
      <formula>$Y22="Khóa"</formula>
    </cfRule>
    <cfRule type="expression" dxfId="62" priority="86">
      <formula>$Y22="GDTC GD3"</formula>
    </cfRule>
    <cfRule type="expression" dxfId="61" priority="87">
      <formula>$Y22="GDTC GD2"</formula>
    </cfRule>
    <cfRule type="expression" dxfId="60" priority="88">
      <formula>$Y22="GDTC GD1"</formula>
    </cfRule>
    <cfRule type="expression" dxfId="59" priority="89">
      <formula>$Y22="CỌC GD3"</formula>
    </cfRule>
    <cfRule type="expression" dxfId="58" priority="90">
      <formula>$Y22="CỌC GD4"</formula>
    </cfRule>
    <cfRule type="expression" dxfId="57" priority="91">
      <formula>$Y22="GDTC GD4"</formula>
    </cfRule>
  </conditionalFormatting>
  <conditionalFormatting sqref="E30">
    <cfRule type="expression" dxfId="56" priority="78">
      <formula>$Y30="Khóa"</formula>
    </cfRule>
    <cfRule type="expression" dxfId="55" priority="79">
      <formula>$Y30="GDTC GD3"</formula>
    </cfRule>
    <cfRule type="expression" dxfId="54" priority="80">
      <formula>$Y30="GDTC GD2"</formula>
    </cfRule>
    <cfRule type="expression" dxfId="53" priority="81">
      <formula>$Y30="GDTC GD1"</formula>
    </cfRule>
    <cfRule type="expression" dxfId="52" priority="82">
      <formula>$Y30="CỌC GD3"</formula>
    </cfRule>
    <cfRule type="expression" dxfId="51" priority="83">
      <formula>$Y30="CỌC GD4"</formula>
    </cfRule>
    <cfRule type="expression" dxfId="50" priority="84">
      <formula>$Y30="GDTC GD4"</formula>
    </cfRule>
  </conditionalFormatting>
  <conditionalFormatting sqref="E38">
    <cfRule type="expression" dxfId="49" priority="71">
      <formula>$Y38="Khóa"</formula>
    </cfRule>
    <cfRule type="expression" dxfId="48" priority="72">
      <formula>$Y38="GDTC GD3"</formula>
    </cfRule>
    <cfRule type="expression" dxfId="47" priority="73">
      <formula>$Y38="GDTC GD2"</formula>
    </cfRule>
    <cfRule type="expression" dxfId="46" priority="74">
      <formula>$Y38="GDTC GD1"</formula>
    </cfRule>
    <cfRule type="expression" dxfId="45" priority="75">
      <formula>$Y38="CỌC GD3"</formula>
    </cfRule>
    <cfRule type="expression" dxfId="44" priority="76">
      <formula>$Y38="CỌC GD4"</formula>
    </cfRule>
    <cfRule type="expression" dxfId="43" priority="77">
      <formula>$Y38="GDTC GD4"</formula>
    </cfRule>
  </conditionalFormatting>
  <conditionalFormatting sqref="E45">
    <cfRule type="expression" dxfId="42" priority="64">
      <formula>$Y45="Khóa"</formula>
    </cfRule>
    <cfRule type="expression" dxfId="41" priority="65">
      <formula>$Y45="GDTC GD3"</formula>
    </cfRule>
    <cfRule type="expression" dxfId="40" priority="66">
      <formula>$Y45="GDTC GD2"</formula>
    </cfRule>
    <cfRule type="expression" dxfId="39" priority="67">
      <formula>$Y45="GDTC GD1"</formula>
    </cfRule>
    <cfRule type="expression" dxfId="38" priority="68">
      <formula>$Y45="CỌC GD3"</formula>
    </cfRule>
    <cfRule type="expression" dxfId="37" priority="69">
      <formula>$Y45="CỌC GD4"</formula>
    </cfRule>
    <cfRule type="expression" dxfId="36" priority="70">
      <formula>$Y45="GDTC GD4"</formula>
    </cfRule>
  </conditionalFormatting>
  <conditionalFormatting sqref="E82:E113">
    <cfRule type="expression" dxfId="35" priority="1">
      <formula>$Y82="Khóa"</formula>
    </cfRule>
    <cfRule type="expression" dxfId="34" priority="2">
      <formula>$Y82="GDTC GD3"</formula>
    </cfRule>
    <cfRule type="expression" dxfId="33" priority="3">
      <formula>$Y82="GDTC GD2"</formula>
    </cfRule>
    <cfRule type="expression" dxfId="32" priority="4">
      <formula>$Y82="GDTC GD1"</formula>
    </cfRule>
    <cfRule type="expression" dxfId="31" priority="5">
      <formula>$Y82="CỌC GD3"</formula>
    </cfRule>
    <cfRule type="expression" dxfId="30" priority="6">
      <formula>$Y82="CỌC GD4"</formula>
    </cfRule>
    <cfRule type="expression" dxfId="29" priority="7">
      <formula>$Y82="GDTC GD4"</formula>
    </cfRule>
  </conditionalFormatting>
  <conditionalFormatting sqref="E115">
    <cfRule type="expression" dxfId="28" priority="57">
      <formula>$Y115="Khóa"</formula>
    </cfRule>
    <cfRule type="expression" dxfId="27" priority="58">
      <formula>$Y115="GDTC GD3"</formula>
    </cfRule>
    <cfRule type="expression" dxfId="26" priority="59">
      <formula>$Y115="GDTC GD2"</formula>
    </cfRule>
    <cfRule type="expression" dxfId="25" priority="60">
      <formula>$Y115="GDTC GD1"</formula>
    </cfRule>
    <cfRule type="expression" dxfId="24" priority="61">
      <formula>$Y115="CỌC GD3"</formula>
    </cfRule>
    <cfRule type="expression" dxfId="23" priority="62">
      <formula>$Y115="CỌC GD4"</formula>
    </cfRule>
    <cfRule type="expression" dxfId="22" priority="63">
      <formula>$Y115="GDTC GD4"</formula>
    </cfRule>
  </conditionalFormatting>
  <conditionalFormatting sqref="E122">
    <cfRule type="expression" dxfId="21" priority="50">
      <formula>$Y122="Khóa"</formula>
    </cfRule>
    <cfRule type="expression" dxfId="20" priority="51">
      <formula>$Y122="GDTC GD3"</formula>
    </cfRule>
    <cfRule type="expression" dxfId="19" priority="52">
      <formula>$Y122="GDTC GD2"</formula>
    </cfRule>
    <cfRule type="expression" dxfId="18" priority="53">
      <formula>$Y122="GDTC GD1"</formula>
    </cfRule>
    <cfRule type="expression" dxfId="17" priority="54">
      <formula>$Y122="CỌC GD3"</formula>
    </cfRule>
    <cfRule type="expression" dxfId="16" priority="55">
      <formula>$Y122="CỌC GD4"</formula>
    </cfRule>
    <cfRule type="expression" dxfId="15" priority="56">
      <formula>$Y122="GDTC GD4"</formula>
    </cfRule>
  </conditionalFormatting>
  <conditionalFormatting sqref="E129">
    <cfRule type="expression" dxfId="14" priority="43">
      <formula>$Y129="Khóa"</formula>
    </cfRule>
    <cfRule type="expression" dxfId="13" priority="44">
      <formula>$Y129="GDTC GD3"</formula>
    </cfRule>
    <cfRule type="expression" dxfId="12" priority="45">
      <formula>$Y129="GDTC GD2"</formula>
    </cfRule>
    <cfRule type="expression" dxfId="11" priority="46">
      <formula>$Y129="GDTC GD1"</formula>
    </cfRule>
    <cfRule type="expression" dxfId="10" priority="47">
      <formula>$Y129="CỌC GD3"</formula>
    </cfRule>
    <cfRule type="expression" dxfId="9" priority="48">
      <formula>$Y129="CỌC GD4"</formula>
    </cfRule>
    <cfRule type="expression" dxfId="8" priority="49">
      <formula>$Y129="GDTC GD4"</formula>
    </cfRule>
  </conditionalFormatting>
  <conditionalFormatting sqref="G2">
    <cfRule type="expression" dxfId="7" priority="113">
      <formula>$Y2="Khóa"</formula>
    </cfRule>
    <cfRule type="expression" dxfId="6" priority="114">
      <formula>$Y2="GDTC GD3"</formula>
    </cfRule>
    <cfRule type="expression" dxfId="5" priority="115">
      <formula>$Y2="GDTC GD2"</formula>
    </cfRule>
    <cfRule type="expression" dxfId="4" priority="116">
      <formula>$Y2="GDTC GD1"</formula>
    </cfRule>
    <cfRule type="expression" dxfId="3" priority="117">
      <formula>$Y2="CỌC GD3"</formula>
    </cfRule>
    <cfRule type="expression" dxfId="2" priority="118">
      <formula>$Y2="CỌC GD4"</formula>
    </cfRule>
    <cfRule type="expression" dxfId="1" priority="119">
      <formula>$Y2="GDTC GD4"</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8EF6C-81F2-D944-A69A-E50D96FD8450}">
  <sheetPr codeName="Trang_tính3"/>
  <dimension ref="A1:F34"/>
  <sheetViews>
    <sheetView workbookViewId="0">
      <selection activeCell="D16" sqref="D16"/>
    </sheetView>
  </sheetViews>
  <sheetFormatPr defaultColWidth="15.1640625" defaultRowHeight="12.75"/>
  <cols>
    <col min="1" max="1" width="4" style="83" customWidth="1"/>
    <col min="2" max="2" width="9.83203125" style="83" customWidth="1"/>
    <col min="3" max="3" width="57.5" style="83" customWidth="1"/>
    <col min="4" max="4" width="56.1640625" style="83" customWidth="1"/>
    <col min="5" max="5" width="9.83203125" style="83" customWidth="1"/>
    <col min="6" max="6" width="4" style="83" customWidth="1"/>
    <col min="7" max="16384" width="15.1640625" style="83"/>
  </cols>
  <sheetData>
    <row r="1" spans="1:6" ht="14.25">
      <c r="A1" s="295"/>
      <c r="B1" s="296"/>
      <c r="C1" s="296"/>
      <c r="D1" s="296"/>
      <c r="E1" s="296"/>
      <c r="F1" s="296"/>
    </row>
    <row r="2" spans="1:6" ht="26.25">
      <c r="A2" s="297"/>
      <c r="B2" s="84"/>
      <c r="C2" s="300"/>
      <c r="D2" s="301"/>
      <c r="E2" s="84"/>
      <c r="F2" s="297"/>
    </row>
    <row r="3" spans="1:6" ht="19.5">
      <c r="A3" s="298"/>
      <c r="B3" s="85"/>
      <c r="C3" s="85" t="s">
        <v>162</v>
      </c>
      <c r="D3" s="86">
        <f ca="1">TODAY()</f>
        <v>46309</v>
      </c>
      <c r="E3" s="86"/>
      <c r="F3" s="298"/>
    </row>
    <row r="4" spans="1:6" ht="24.75" customHeight="1">
      <c r="A4" s="298"/>
      <c r="B4" s="302" t="s">
        <v>163</v>
      </c>
      <c r="C4" s="303"/>
      <c r="D4" s="303"/>
      <c r="E4" s="304"/>
      <c r="F4" s="298"/>
    </row>
    <row r="5" spans="1:6" ht="18.75">
      <c r="A5" s="298"/>
      <c r="B5" s="87"/>
      <c r="C5" s="88" t="s">
        <v>176</v>
      </c>
      <c r="D5" s="89" t="s">
        <v>150</v>
      </c>
      <c r="E5" s="90"/>
      <c r="F5" s="298"/>
    </row>
    <row r="6" spans="1:6" ht="18.75">
      <c r="A6" s="298"/>
      <c r="B6" s="87"/>
      <c r="C6" s="88" t="s">
        <v>164</v>
      </c>
      <c r="D6" s="91" t="s">
        <v>150</v>
      </c>
      <c r="E6" s="90"/>
      <c r="F6" s="298"/>
    </row>
    <row r="7" spans="1:6" ht="18.75">
      <c r="A7" s="298"/>
      <c r="B7" s="87"/>
      <c r="C7" s="88" t="s">
        <v>165</v>
      </c>
      <c r="D7" s="92" t="s">
        <v>166</v>
      </c>
      <c r="E7" s="90"/>
      <c r="F7" s="298"/>
    </row>
    <row r="8" spans="1:6" ht="18.75">
      <c r="A8" s="298"/>
      <c r="B8" s="87"/>
      <c r="C8" s="93"/>
      <c r="D8" s="94"/>
      <c r="E8" s="90"/>
      <c r="F8" s="298"/>
    </row>
    <row r="9" spans="1:6" ht="18.75">
      <c r="A9" s="298"/>
      <c r="B9" s="95"/>
      <c r="C9" s="95"/>
      <c r="D9" s="95"/>
      <c r="E9" s="95"/>
      <c r="F9" s="298"/>
    </row>
    <row r="10" spans="1:6" ht="18.75">
      <c r="A10" s="298"/>
      <c r="B10" s="305" t="s">
        <v>173</v>
      </c>
      <c r="C10" s="306"/>
      <c r="D10" s="306"/>
      <c r="E10" s="307"/>
      <c r="F10" s="298"/>
    </row>
    <row r="11" spans="1:6" ht="18.75">
      <c r="A11" s="298"/>
      <c r="B11" s="87"/>
      <c r="C11" s="96" t="s">
        <v>167</v>
      </c>
      <c r="D11" s="104" t="s">
        <v>248</v>
      </c>
      <c r="E11" s="90"/>
      <c r="F11" s="298"/>
    </row>
    <row r="12" spans="1:6" ht="18.75">
      <c r="A12" s="298"/>
      <c r="B12" s="87"/>
      <c r="C12" s="97" t="s">
        <v>244</v>
      </c>
      <c r="D12" s="98" t="str">
        <f>IFERROR(VLOOKUP(D$11,'Bảng giá'!$D$6:$AC$41,15,0),"")</f>
        <v>Biệt phủ</v>
      </c>
      <c r="E12" s="90"/>
      <c r="F12" s="298"/>
    </row>
    <row r="13" spans="1:6" ht="18.75">
      <c r="A13" s="298"/>
      <c r="B13" s="90"/>
      <c r="C13" s="97" t="s">
        <v>174</v>
      </c>
      <c r="D13" s="104" t="s">
        <v>246</v>
      </c>
      <c r="E13" s="90"/>
      <c r="F13" s="298"/>
    </row>
    <row r="14" spans="1:6" ht="18.75">
      <c r="A14" s="298"/>
      <c r="B14" s="95"/>
      <c r="C14" s="96" t="s">
        <v>168</v>
      </c>
      <c r="D14" s="99">
        <f>IFERROR(VLOOKUP(D$11,'Bảng giá'!$D$6:$AC$41,9,0),"")</f>
        <v>966.37</v>
      </c>
      <c r="E14" s="95"/>
      <c r="F14" s="298"/>
    </row>
    <row r="15" spans="1:6" ht="18.75">
      <c r="A15" s="298"/>
      <c r="B15" s="95"/>
      <c r="C15" s="96" t="s">
        <v>169</v>
      </c>
      <c r="D15" s="100" t="str" cm="1">
        <f t="array" ref="D15">_xlfn.IFS(AND(D12="BIỆT PHỦ",D13="Biệt phủ Điền trang"),490.9,AND(D12="Điền an",D13="30 Suites"),955,AND(D12="Điền an",D13="20 Suites"),675,TRUE,"")</f>
        <v/>
      </c>
      <c r="E15" s="95"/>
      <c r="F15" s="298"/>
    </row>
    <row r="16" spans="1:6" ht="37.5">
      <c r="A16" s="298"/>
      <c r="B16" s="95"/>
      <c r="C16" s="97" t="s">
        <v>210</v>
      </c>
      <c r="D16" s="101">
        <f>IFERROR(VLOOKUP(D$11,'Bảng giá'!$D$6:$AC$41,17,0),"")</f>
        <v>12345492714.4</v>
      </c>
      <c r="E16" s="95"/>
      <c r="F16" s="298"/>
    </row>
    <row r="17" spans="1:6" ht="24" customHeight="1">
      <c r="A17" s="298"/>
      <c r="B17" s="95"/>
      <c r="C17" s="97" t="s">
        <v>209</v>
      </c>
      <c r="D17" s="101">
        <f>D16/D14</f>
        <v>12775120</v>
      </c>
      <c r="E17" s="95"/>
      <c r="F17" s="298"/>
    </row>
    <row r="18" spans="1:6" ht="18.75">
      <c r="A18" s="298"/>
      <c r="B18" s="95"/>
      <c r="C18" s="97" t="s">
        <v>208</v>
      </c>
      <c r="D18" s="101" t="str">
        <f>IF(OR(D15="",D19=""),"",D15*D19)</f>
        <v/>
      </c>
      <c r="E18" s="95"/>
      <c r="F18" s="298"/>
    </row>
    <row r="19" spans="1:6" ht="18.75">
      <c r="A19" s="298"/>
      <c r="B19" s="95"/>
      <c r="C19" s="97" t="s">
        <v>207</v>
      </c>
      <c r="D19" s="101" t="str" cm="1">
        <f t="array" ref="D19">_xlfn.IFS(AND(D12="Biệt phủ",D13="Biệt phủ Điền trang"),10300000,AND(D12="Điền an",D13="20 suites"),9200000,AND(D12="Điền an",D13="30 suites"),8900000,TRUE,"")</f>
        <v/>
      </c>
      <c r="E19" s="95"/>
      <c r="F19" s="298"/>
    </row>
    <row r="20" spans="1:6" ht="18.75">
      <c r="A20" s="298"/>
      <c r="B20" s="95"/>
      <c r="C20" s="95"/>
      <c r="D20" s="95"/>
      <c r="E20" s="95"/>
      <c r="F20" s="298"/>
    </row>
    <row r="21" spans="1:6" ht="24.75" customHeight="1">
      <c r="A21" s="298"/>
      <c r="B21" s="308" t="s">
        <v>170</v>
      </c>
      <c r="C21" s="303"/>
      <c r="D21" s="303"/>
      <c r="E21" s="304"/>
      <c r="F21" s="298"/>
    </row>
    <row r="22" spans="1:6" ht="42" customHeight="1">
      <c r="A22" s="298"/>
      <c r="B22" s="308" t="s">
        <v>171</v>
      </c>
      <c r="C22" s="303"/>
      <c r="D22" s="303"/>
      <c r="E22" s="304"/>
      <c r="F22" s="298"/>
    </row>
    <row r="23" spans="1:6" ht="42" customHeight="1">
      <c r="A23" s="298"/>
      <c r="B23" s="308" t="s">
        <v>172</v>
      </c>
      <c r="C23" s="303"/>
      <c r="D23" s="303"/>
      <c r="E23" s="304"/>
      <c r="F23" s="298"/>
    </row>
    <row r="24" spans="1:6" ht="15" customHeight="1">
      <c r="A24" s="298"/>
      <c r="B24" s="102"/>
      <c r="C24" s="102"/>
      <c r="D24" s="102"/>
      <c r="E24" s="102"/>
      <c r="F24" s="298"/>
    </row>
    <row r="25" spans="1:6" ht="15.75">
      <c r="A25" s="298"/>
      <c r="B25" s="102"/>
      <c r="C25" s="102"/>
      <c r="D25" s="103"/>
      <c r="E25" s="102"/>
      <c r="F25" s="298"/>
    </row>
    <row r="26" spans="1:6" ht="15" customHeight="1">
      <c r="A26" s="299"/>
      <c r="B26" s="102"/>
      <c r="C26" s="102"/>
      <c r="D26" s="102"/>
      <c r="E26" s="102"/>
      <c r="F26" s="299"/>
    </row>
    <row r="27" spans="1:6" ht="14.25">
      <c r="A27" s="295"/>
      <c r="B27" s="296"/>
      <c r="C27" s="296"/>
      <c r="D27" s="296"/>
      <c r="E27" s="296"/>
      <c r="F27" s="296"/>
    </row>
    <row r="28" spans="1:6" ht="15.75" customHeight="1"/>
    <row r="29" spans="1:6" ht="15.75" customHeight="1"/>
    <row r="30" spans="1:6" ht="15.75" customHeight="1"/>
    <row r="31" spans="1:6" ht="15.75" customHeight="1"/>
    <row r="32" spans="1:6" ht="15.75" customHeight="1"/>
    <row r="33" ht="15.75" customHeight="1"/>
    <row r="34" ht="15.75" customHeight="1"/>
  </sheetData>
  <sheetProtection algorithmName="SHA-512" hashValue="sKFENie0M4fFGMzD6dn2b2kSCYqMOzEbdGjoRD6phSratX26MEqYcAK0sDnvkD/osQbFq3iqYHHbLi/w8+d8mg==" saltValue="VbcqF7eTqg74dlQVbV9zPg==" spinCount="100000" sheet="1" objects="1" scenarios="1"/>
  <mergeCells count="10">
    <mergeCell ref="A27:F27"/>
    <mergeCell ref="A1:F1"/>
    <mergeCell ref="A2:A26"/>
    <mergeCell ref="C2:D2"/>
    <mergeCell ref="F2:F26"/>
    <mergeCell ref="B4:E4"/>
    <mergeCell ref="B10:E10"/>
    <mergeCell ref="B21:E21"/>
    <mergeCell ref="B22:E22"/>
    <mergeCell ref="B23:E23"/>
  </mergeCells>
  <dataValidations count="5">
    <dataValidation allowBlank="1" sqref="D12" xr:uid="{510F2B9D-BC0D-2643-88FA-C0A0CF55543E}"/>
    <dataValidation type="list" allowBlank="1" sqref="D5" xr:uid="{3EB7CEA0-C931-D940-98E5-12B6C27720BA}">
      <formula1>"CÓ,KHÔNG"</formula1>
    </dataValidation>
    <dataValidation type="list" allowBlank="1" sqref="D7" xr:uid="{E3D1B626-7E2E-EE42-B459-7AE8D8123E1B}">
      <formula1>"Việt Nam,Người nước ngoài"</formula1>
    </dataValidation>
    <dataValidation type="list" allowBlank="1" sqref="D6" xr:uid="{971183CE-582A-C04F-A4CE-5C2499EDD274}">
      <formula1>"KHÔNG,GOLD,PLATINUM,DIAMOND"</formula1>
    </dataValidation>
    <dataValidation type="list" allowBlank="1" showInputMessage="1" showErrorMessage="1" sqref="D13" xr:uid="{EF417851-9A8A-CD47-91D7-54E3013A4C0F}">
      <formula1>"20 suites,30 suites,Biệt phủ điền trang, Tự xây"</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CCB11-F873-D34F-A361-3D66B6C89536}">
  <sheetPr codeName="Trang_tính4"/>
  <dimension ref="A1:I58"/>
  <sheetViews>
    <sheetView topLeftCell="A4" zoomScale="80" zoomScaleNormal="80" workbookViewId="0">
      <selection activeCell="C38" sqref="C38"/>
    </sheetView>
  </sheetViews>
  <sheetFormatPr defaultColWidth="15.1640625" defaultRowHeight="12.75"/>
  <cols>
    <col min="1" max="1" width="34.5" customWidth="1"/>
    <col min="2" max="2" width="18.83203125" customWidth="1"/>
    <col min="3" max="3" width="25.1640625" customWidth="1"/>
    <col min="4" max="4" width="28.83203125" customWidth="1"/>
    <col min="5" max="5" width="27.5" customWidth="1"/>
    <col min="6" max="8" width="23.5" customWidth="1"/>
    <col min="9" max="9" width="29.5" customWidth="1"/>
  </cols>
  <sheetData>
    <row r="1" spans="1:9" ht="33" customHeight="1">
      <c r="A1" s="342"/>
      <c r="B1" s="342"/>
      <c r="C1" s="345" t="s">
        <v>131</v>
      </c>
      <c r="D1" s="323"/>
      <c r="E1" s="323"/>
      <c r="F1" s="323"/>
      <c r="G1" s="323"/>
      <c r="H1" s="346"/>
    </row>
    <row r="2" spans="1:9" ht="29.25" customHeight="1">
      <c r="A2" s="343"/>
      <c r="B2" s="343"/>
      <c r="C2" s="347" t="s">
        <v>214</v>
      </c>
      <c r="D2" s="348"/>
      <c r="E2" s="348"/>
      <c r="F2" s="348"/>
      <c r="G2" s="348"/>
      <c r="H2" s="349"/>
    </row>
    <row r="3" spans="1:9" ht="33" customHeight="1">
      <c r="A3" s="344"/>
      <c r="B3" s="344"/>
      <c r="C3" s="350" t="str">
        <f>"Mã sản phẩm: "&amp;A7&amp;" - "&amp;B7</f>
        <v>Mã sản phẩm: A.16 - Biệt phủ</v>
      </c>
      <c r="D3" s="348"/>
      <c r="E3" s="348"/>
      <c r="F3" s="348"/>
      <c r="G3" s="348"/>
      <c r="H3" s="349"/>
    </row>
    <row r="4" spans="1:9" ht="55.5" customHeight="1">
      <c r="A4" s="351" t="s">
        <v>132</v>
      </c>
      <c r="B4" s="352"/>
      <c r="C4" s="352"/>
      <c r="D4" s="352"/>
      <c r="E4" s="352"/>
      <c r="F4" s="352"/>
      <c r="G4" s="352"/>
      <c r="H4" s="353"/>
    </row>
    <row r="5" spans="1:9" ht="28.5" customHeight="1">
      <c r="A5" s="354" t="s">
        <v>133</v>
      </c>
      <c r="B5" s="325"/>
      <c r="C5" s="325"/>
      <c r="D5" s="325"/>
      <c r="E5" s="325"/>
      <c r="F5" s="325"/>
      <c r="G5" s="325"/>
      <c r="H5" s="316"/>
    </row>
    <row r="6" spans="1:9" ht="28.5" customHeight="1">
      <c r="A6" s="18" t="s">
        <v>134</v>
      </c>
      <c r="B6" s="18" t="s">
        <v>11</v>
      </c>
      <c r="C6" s="18" t="s">
        <v>175</v>
      </c>
      <c r="D6" s="19" t="s">
        <v>135</v>
      </c>
      <c r="E6" s="19" t="s">
        <v>136</v>
      </c>
      <c r="F6" s="20" t="s">
        <v>137</v>
      </c>
      <c r="G6" s="355" t="s">
        <v>138</v>
      </c>
      <c r="H6" s="356"/>
    </row>
    <row r="7" spans="1:9" ht="28.5" customHeight="1">
      <c r="A7" s="21" t="str">
        <f>'NHẬP THÔNG TIN'!D11</f>
        <v>A.16</v>
      </c>
      <c r="B7" s="22" t="str">
        <f>'NHẬP THÔNG TIN'!D12</f>
        <v>Biệt phủ</v>
      </c>
      <c r="C7" s="51" t="str">
        <f>'NHẬP THÔNG TIN'!D13</f>
        <v>20 suites</v>
      </c>
      <c r="D7" s="23">
        <f>'NHẬP THÔNG TIN'!D14</f>
        <v>966.37</v>
      </c>
      <c r="E7" s="23" t="str">
        <f>'NHẬP THÔNG TIN'!D15</f>
        <v/>
      </c>
      <c r="F7" s="24">
        <f ca="1">'NHẬP THÔNG TIN'!D3</f>
        <v>46309</v>
      </c>
      <c r="G7" s="357" t="str">
        <f>'NHẬP THÔNG TIN'!D7</f>
        <v>Việt Nam</v>
      </c>
      <c r="H7" s="316"/>
    </row>
    <row r="8" spans="1:9" ht="13.5" customHeight="1">
      <c r="A8" s="25"/>
      <c r="B8" s="25"/>
      <c r="C8" s="26"/>
      <c r="D8" s="25"/>
      <c r="E8" s="25"/>
      <c r="F8" s="25"/>
      <c r="G8" s="25"/>
      <c r="H8" s="25"/>
      <c r="I8" s="25"/>
    </row>
    <row r="9" spans="1:9" ht="28.5" customHeight="1">
      <c r="A9" s="358" t="s">
        <v>139</v>
      </c>
      <c r="B9" s="359"/>
      <c r="C9" s="359"/>
      <c r="D9" s="359"/>
      <c r="E9" s="359"/>
      <c r="F9" s="359"/>
      <c r="G9" s="359"/>
      <c r="H9" s="359"/>
      <c r="I9" s="359"/>
    </row>
    <row r="10" spans="1:9" ht="33.75" customHeight="1">
      <c r="A10" s="328" t="s">
        <v>140</v>
      </c>
      <c r="B10" s="316"/>
      <c r="C10" s="27" t="s">
        <v>141</v>
      </c>
      <c r="D10" s="27" t="s">
        <v>142</v>
      </c>
      <c r="E10" s="27" t="s">
        <v>143</v>
      </c>
      <c r="F10" s="28" t="s">
        <v>144</v>
      </c>
      <c r="G10" s="28" t="s">
        <v>145</v>
      </c>
      <c r="H10" s="29" t="s">
        <v>146</v>
      </c>
      <c r="I10" s="29" t="s">
        <v>147</v>
      </c>
    </row>
    <row r="11" spans="1:9" ht="21" customHeight="1">
      <c r="A11" s="339" t="s">
        <v>185</v>
      </c>
      <c r="B11" s="325"/>
      <c r="C11" s="325"/>
      <c r="D11" s="325"/>
      <c r="E11" s="316"/>
      <c r="F11" s="112">
        <f>'NHẬP THÔNG TIN'!D16</f>
        <v>12345492714.4</v>
      </c>
      <c r="G11" s="112" t="str">
        <f>'NHẬP THÔNG TIN'!D18</f>
        <v/>
      </c>
      <c r="H11" s="114">
        <f>SUM(F11,G11)</f>
        <v>12345492714.4</v>
      </c>
      <c r="I11" s="30" t="s">
        <v>148</v>
      </c>
    </row>
    <row r="12" spans="1:9" ht="21" customHeight="1">
      <c r="A12" s="339" t="s">
        <v>177</v>
      </c>
      <c r="B12" s="316"/>
      <c r="C12" s="105" t="str">
        <f>'NHẬP THÔNG TIN'!D5</f>
        <v>KHÔNG</v>
      </c>
      <c r="D12" s="108">
        <f>IF(C12="có",0.5%,0)</f>
        <v>0</v>
      </c>
      <c r="E12" s="120" t="str">
        <f t="shared" ref="E12" si="0">IF(C12="CÓ","CÓ","KHÔNG")</f>
        <v>KHÔNG</v>
      </c>
      <c r="F12" s="109">
        <f>IF(E12="CÓ",D12*F11,0)</f>
        <v>0</v>
      </c>
      <c r="G12" s="109">
        <v>0</v>
      </c>
      <c r="H12" s="114">
        <f t="shared" ref="H12:H19" si="1">SUM(F12,G12)</f>
        <v>0</v>
      </c>
      <c r="I12" s="31" t="s">
        <v>149</v>
      </c>
    </row>
    <row r="13" spans="1:9" ht="34.15" customHeight="1">
      <c r="A13" s="339" t="s">
        <v>178</v>
      </c>
      <c r="B13" s="316"/>
      <c r="C13" s="106" t="s">
        <v>151</v>
      </c>
      <c r="D13" s="109">
        <f>IF(C13="có",800000000,0)</f>
        <v>800000000</v>
      </c>
      <c r="E13" s="120" t="str">
        <f>IF(C13="CÓ","CÓ","KHÔNG")</f>
        <v>CÓ</v>
      </c>
      <c r="F13" s="109">
        <f>IF(E13="CÓ",D13,0)</f>
        <v>800000000</v>
      </c>
      <c r="G13" s="109">
        <v>0</v>
      </c>
      <c r="H13" s="114">
        <f t="shared" si="1"/>
        <v>800000000</v>
      </c>
      <c r="I13" s="31" t="s">
        <v>179</v>
      </c>
    </row>
    <row r="14" spans="1:9" ht="21" customHeight="1">
      <c r="A14" s="339" t="s">
        <v>181</v>
      </c>
      <c r="B14" s="316"/>
      <c r="C14" s="106" t="s">
        <v>151</v>
      </c>
      <c r="D14" s="110" t="str">
        <f>IF(C14="CÓ","24 tháng","")</f>
        <v>24 tháng</v>
      </c>
      <c r="E14" s="120" t="s">
        <v>186</v>
      </c>
      <c r="F14" s="109">
        <f t="shared" ref="F14:F17" si="2">IF(E14="CÓ",D14,0)</f>
        <v>0</v>
      </c>
      <c r="G14" s="109">
        <v>0</v>
      </c>
      <c r="H14" s="114">
        <f t="shared" si="1"/>
        <v>0</v>
      </c>
      <c r="I14" s="31" t="s">
        <v>187</v>
      </c>
    </row>
    <row r="15" spans="1:9" ht="21" customHeight="1">
      <c r="A15" s="339" t="s">
        <v>180</v>
      </c>
      <c r="B15" s="316"/>
      <c r="C15" s="106" t="s">
        <v>151</v>
      </c>
      <c r="D15" s="110" t="str">
        <f>IF(C15="CÓ","24 tháng","")</f>
        <v>24 tháng</v>
      </c>
      <c r="E15" s="120" t="s">
        <v>186</v>
      </c>
      <c r="F15" s="109">
        <f t="shared" si="2"/>
        <v>0</v>
      </c>
      <c r="G15" s="109">
        <v>0</v>
      </c>
      <c r="H15" s="114">
        <f t="shared" si="1"/>
        <v>0</v>
      </c>
      <c r="I15" s="31" t="s">
        <v>187</v>
      </c>
    </row>
    <row r="16" spans="1:9" ht="21" customHeight="1">
      <c r="A16" s="339" t="s">
        <v>182</v>
      </c>
      <c r="B16" s="316"/>
      <c r="C16" s="121" t="str">
        <f>IF(B7="Điền sản","CÓ","KHÔNG")</f>
        <v>KHÔNG</v>
      </c>
      <c r="D16" s="111">
        <f>IF(C16="CÓ",800000000,0)</f>
        <v>0</v>
      </c>
      <c r="E16" s="120" t="str">
        <f>IF(C16="CÓ","CÓ","KHÔNG")</f>
        <v>KHÔNG</v>
      </c>
      <c r="F16" s="109">
        <f t="shared" si="2"/>
        <v>0</v>
      </c>
      <c r="G16" s="109">
        <v>0</v>
      </c>
      <c r="H16" s="114">
        <f t="shared" si="1"/>
        <v>0</v>
      </c>
      <c r="I16" s="31" t="s">
        <v>183</v>
      </c>
    </row>
    <row r="17" spans="1:9" ht="21" customHeight="1">
      <c r="A17" s="337" t="s">
        <v>205</v>
      </c>
      <c r="B17" s="338"/>
      <c r="C17" s="107" t="s">
        <v>245</v>
      </c>
      <c r="D17" s="111">
        <f>IF(C17="tt chuẩn",200000000,IF(C17="tt trước hạn 50%",600000000,IF(C17="tt trước hạn 70%",800000000,IF(C17="tt trước hạn 100%",1000000000,0))))</f>
        <v>200000000</v>
      </c>
      <c r="E17" s="120" t="s">
        <v>151</v>
      </c>
      <c r="F17" s="109">
        <f t="shared" si="2"/>
        <v>200000000</v>
      </c>
      <c r="G17" s="109">
        <v>0</v>
      </c>
      <c r="H17" s="114">
        <f t="shared" si="1"/>
        <v>200000000</v>
      </c>
      <c r="I17" s="31"/>
    </row>
    <row r="18" spans="1:9" ht="21" customHeight="1">
      <c r="A18" s="340" t="s">
        <v>184</v>
      </c>
      <c r="B18" s="316"/>
      <c r="C18" s="32"/>
      <c r="D18" s="34"/>
      <c r="E18" s="32"/>
      <c r="F18" s="112">
        <f>F11-SUM(F12:F17)</f>
        <v>11345492714.4</v>
      </c>
      <c r="G18" s="112">
        <f>IF(G11="",0,G11-SUM(G12:G17))</f>
        <v>0</v>
      </c>
      <c r="H18" s="114">
        <f t="shared" si="1"/>
        <v>11345492714.4</v>
      </c>
      <c r="I18" s="35" t="s">
        <v>148</v>
      </c>
    </row>
    <row r="19" spans="1:9" ht="21" customHeight="1">
      <c r="A19" s="339" t="s">
        <v>152</v>
      </c>
      <c r="B19" s="316"/>
      <c r="C19" s="32"/>
      <c r="D19" s="33"/>
      <c r="E19" s="32"/>
      <c r="F19" s="109"/>
      <c r="G19" s="109">
        <f>10%*G18</f>
        <v>0</v>
      </c>
      <c r="H19" s="114">
        <f t="shared" si="1"/>
        <v>0</v>
      </c>
      <c r="I19" s="31"/>
    </row>
    <row r="20" spans="1:9" ht="21" customHeight="1">
      <c r="A20" s="339" t="s">
        <v>153</v>
      </c>
      <c r="B20" s="316"/>
      <c r="C20" s="32"/>
      <c r="D20" s="33"/>
      <c r="E20" s="32"/>
      <c r="F20" s="109"/>
      <c r="G20" s="109"/>
      <c r="H20" s="115"/>
      <c r="I20" s="31"/>
    </row>
    <row r="21" spans="1:9" ht="28.5" customHeight="1">
      <c r="A21" s="341" t="s">
        <v>154</v>
      </c>
      <c r="B21" s="316"/>
      <c r="C21" s="36"/>
      <c r="D21" s="37"/>
      <c r="E21" s="38"/>
      <c r="F21" s="113">
        <f>SUM(F18:F20)</f>
        <v>11345492714.4</v>
      </c>
      <c r="G21" s="113">
        <f>SUM(G18:G20)</f>
        <v>0</v>
      </c>
      <c r="H21" s="113">
        <f>SUM(H18:H20)</f>
        <v>11345492714.4</v>
      </c>
      <c r="I21" s="29"/>
    </row>
    <row r="22" spans="1:9" ht="13.5" customHeight="1">
      <c r="A22" s="25"/>
      <c r="B22" s="25"/>
      <c r="C22" s="26"/>
      <c r="D22" s="25"/>
      <c r="E22" s="25"/>
      <c r="F22" s="25"/>
      <c r="G22" s="25"/>
      <c r="H22" s="25"/>
      <c r="I22" s="25"/>
    </row>
    <row r="23" spans="1:9" ht="28.5" customHeight="1">
      <c r="A23" s="326" t="s">
        <v>206</v>
      </c>
      <c r="B23" s="327"/>
      <c r="C23" s="327"/>
      <c r="D23" s="327"/>
      <c r="E23" s="327"/>
      <c r="F23" s="327"/>
      <c r="G23" s="327"/>
      <c r="H23" s="327"/>
      <c r="I23" s="327"/>
    </row>
    <row r="24" spans="1:9" ht="36" customHeight="1">
      <c r="A24" s="324" t="s">
        <v>155</v>
      </c>
      <c r="B24" s="316"/>
      <c r="C24" s="40" t="s">
        <v>156</v>
      </c>
      <c r="D24" s="328" t="s">
        <v>157</v>
      </c>
      <c r="E24" s="325"/>
      <c r="F24" s="39" t="s">
        <v>158</v>
      </c>
      <c r="G24" s="39" t="s">
        <v>145</v>
      </c>
      <c r="H24" s="41" t="s">
        <v>146</v>
      </c>
      <c r="I24" s="42" t="s">
        <v>113</v>
      </c>
    </row>
    <row r="25" spans="1:9" ht="27" customHeight="1">
      <c r="A25" s="335" t="s">
        <v>188</v>
      </c>
      <c r="B25" s="336"/>
      <c r="C25" s="336"/>
      <c r="D25" s="336"/>
      <c r="E25" s="336"/>
      <c r="F25" s="336"/>
      <c r="G25" s="336"/>
      <c r="H25" s="336"/>
      <c r="I25" s="336"/>
    </row>
    <row r="26" spans="1:9" ht="21" customHeight="1">
      <c r="A26" s="315" t="s">
        <v>200</v>
      </c>
      <c r="B26" s="316"/>
      <c r="C26" s="43">
        <f ca="1">F7</f>
        <v>46309</v>
      </c>
      <c r="D26" s="334"/>
      <c r="E26" s="316"/>
      <c r="F26" s="116">
        <f>IF($C$17="Tt chuẩn",200000000,"")</f>
        <v>200000000</v>
      </c>
      <c r="G26" s="116">
        <v>0</v>
      </c>
      <c r="H26" s="117">
        <f>IF(OR(F26="",G26=""),"",F26+G26)</f>
        <v>200000000</v>
      </c>
      <c r="I26" s="44"/>
    </row>
    <row r="27" spans="1:9" ht="22.9" customHeight="1">
      <c r="A27" s="317" t="s">
        <v>189</v>
      </c>
      <c r="B27" s="318"/>
      <c r="C27" s="318"/>
      <c r="D27" s="318"/>
      <c r="E27" s="318"/>
      <c r="F27" s="318"/>
      <c r="G27" s="318"/>
      <c r="H27" s="318"/>
      <c r="I27" s="330"/>
    </row>
    <row r="28" spans="1:9" ht="44.25" customHeight="1">
      <c r="A28" s="315" t="s">
        <v>201</v>
      </c>
      <c r="B28" s="316"/>
      <c r="C28" s="43">
        <f ca="1">$C$26+10</f>
        <v>46319</v>
      </c>
      <c r="D28" s="331" t="s">
        <v>190</v>
      </c>
      <c r="E28" s="316"/>
      <c r="F28" s="116">
        <f>IF($C$17="tt chuẩn",(20%*$F$21)-(F26),"")</f>
        <v>2069098542.8800001</v>
      </c>
      <c r="G28" s="116">
        <v>0</v>
      </c>
      <c r="H28" s="117">
        <f>IF(OR(F28="",G28=""),"",F28+G28)</f>
        <v>2069098542.8800001</v>
      </c>
      <c r="I28" s="44"/>
    </row>
    <row r="29" spans="1:9" ht="49.5" customHeight="1">
      <c r="A29" s="315" t="s">
        <v>199</v>
      </c>
      <c r="B29" s="316"/>
      <c r="C29" s="43">
        <f ca="1">C28+60</f>
        <v>46379</v>
      </c>
      <c r="D29" s="331" t="s">
        <v>191</v>
      </c>
      <c r="E29" s="316"/>
      <c r="F29" s="116">
        <f>IF($C$17="tt chuẩn",10%*$F$21,"")</f>
        <v>1134549271.4400001</v>
      </c>
      <c r="G29" s="116">
        <v>0</v>
      </c>
      <c r="H29" s="117">
        <f>IF(OR(F29="",G29=""),"",F29+G29)</f>
        <v>1134549271.4400001</v>
      </c>
      <c r="I29" s="44"/>
    </row>
    <row r="30" spans="1:9" ht="21.75" customHeight="1">
      <c r="A30" s="315" t="s">
        <v>202</v>
      </c>
      <c r="B30" s="316"/>
      <c r="C30" s="43">
        <f t="shared" ref="C30:C32" ca="1" si="3">C29+60</f>
        <v>46439</v>
      </c>
      <c r="D30" s="331" t="s">
        <v>191</v>
      </c>
      <c r="E30" s="316"/>
      <c r="F30" s="116">
        <f t="shared" ref="F30:F32" si="4">IF($C$17="tt chuẩn",10%*$F$21,"")</f>
        <v>1134549271.4400001</v>
      </c>
      <c r="G30" s="116">
        <v>0</v>
      </c>
      <c r="H30" s="117">
        <f>IF(OR(F30="",G30=""),"",F30+G30)</f>
        <v>1134549271.4400001</v>
      </c>
      <c r="I30" s="44"/>
    </row>
    <row r="31" spans="1:9" ht="21.75" customHeight="1">
      <c r="A31" s="315" t="s">
        <v>203</v>
      </c>
      <c r="B31" s="316"/>
      <c r="C31" s="43">
        <f t="shared" ca="1" si="3"/>
        <v>46499</v>
      </c>
      <c r="D31" s="331" t="s">
        <v>191</v>
      </c>
      <c r="E31" s="316"/>
      <c r="F31" s="116">
        <f t="shared" si="4"/>
        <v>1134549271.4400001</v>
      </c>
      <c r="G31" s="116">
        <v>0</v>
      </c>
      <c r="H31" s="117">
        <f>IF(OR(F31="",G31=""),"",F31+G31)</f>
        <v>1134549271.4400001</v>
      </c>
      <c r="I31" s="44"/>
    </row>
    <row r="32" spans="1:9" ht="21.75" customHeight="1">
      <c r="A32" s="315" t="s">
        <v>204</v>
      </c>
      <c r="B32" s="316"/>
      <c r="C32" s="43">
        <f t="shared" ca="1" si="3"/>
        <v>46559</v>
      </c>
      <c r="D32" s="331" t="s">
        <v>191</v>
      </c>
      <c r="E32" s="316"/>
      <c r="F32" s="116">
        <f t="shared" si="4"/>
        <v>1134549271.4400001</v>
      </c>
      <c r="G32" s="116">
        <v>0</v>
      </c>
      <c r="H32" s="117">
        <f t="shared" ref="H32:H33" si="5">IF(OR(F32="",G32=""),"",F32+G32)</f>
        <v>1134549271.4400001</v>
      </c>
      <c r="I32" s="44"/>
    </row>
    <row r="33" spans="1:9" ht="21.75" customHeight="1">
      <c r="A33" s="315" t="s">
        <v>212</v>
      </c>
      <c r="B33" s="316"/>
      <c r="C33" s="43">
        <f ca="1">C32+120</f>
        <v>46679</v>
      </c>
      <c r="D33" s="331" t="s">
        <v>192</v>
      </c>
      <c r="E33" s="316"/>
      <c r="F33" s="116">
        <f>IF($C$17="tt chuẩn",40%*$F$21,"")</f>
        <v>4538197085.7600002</v>
      </c>
      <c r="G33" s="116">
        <v>0</v>
      </c>
      <c r="H33" s="117">
        <f t="shared" si="5"/>
        <v>4538197085.7600002</v>
      </c>
      <c r="I33" s="44"/>
    </row>
    <row r="34" spans="1:9" ht="28.15" customHeight="1">
      <c r="A34" s="311" t="s">
        <v>194</v>
      </c>
      <c r="B34" s="312"/>
      <c r="C34" s="45">
        <f ca="1">C30</f>
        <v>46439</v>
      </c>
      <c r="D34" s="332" t="s">
        <v>193</v>
      </c>
      <c r="E34" s="333"/>
      <c r="F34" s="118">
        <v>0</v>
      </c>
      <c r="G34" s="118">
        <f>IF($C$17="tt chuẩn",30%*$G$21,"")</f>
        <v>0</v>
      </c>
      <c r="H34" s="118">
        <f>IF(OR(F34="",G34=""),"",F34+G34)</f>
        <v>0</v>
      </c>
      <c r="I34" s="44"/>
    </row>
    <row r="35" spans="1:9" ht="21.75" customHeight="1">
      <c r="A35" s="315" t="s">
        <v>195</v>
      </c>
      <c r="B35" s="316"/>
      <c r="C35" s="43">
        <f ca="1">C34+60</f>
        <v>46499</v>
      </c>
      <c r="D35" s="331" t="s">
        <v>160</v>
      </c>
      <c r="E35" s="316"/>
      <c r="F35" s="116">
        <v>0</v>
      </c>
      <c r="G35" s="116">
        <f>IF($C$17="tt chuẩn",15%*$G$21,"")</f>
        <v>0</v>
      </c>
      <c r="H35" s="117">
        <f>IF(OR(F35="",G35=""),"",F35+G35)</f>
        <v>0</v>
      </c>
      <c r="I35" s="44"/>
    </row>
    <row r="36" spans="1:9" ht="21.75" customHeight="1">
      <c r="A36" s="315" t="s">
        <v>196</v>
      </c>
      <c r="B36" s="316"/>
      <c r="C36" s="43">
        <f t="shared" ref="C36:C38" ca="1" si="6">C35+60</f>
        <v>46559</v>
      </c>
      <c r="D36" s="331" t="s">
        <v>159</v>
      </c>
      <c r="E36" s="316"/>
      <c r="F36" s="116">
        <v>0</v>
      </c>
      <c r="G36" s="116">
        <f>IF($C$17="tt chuẩn",20%*$G$21,"")</f>
        <v>0</v>
      </c>
      <c r="H36" s="117">
        <f t="shared" ref="H36:H38" si="7">IF(OR(F36="",G36=""),"",F36+G36)</f>
        <v>0</v>
      </c>
      <c r="I36" s="44"/>
    </row>
    <row r="37" spans="1:9" ht="21.75" customHeight="1">
      <c r="A37" s="315" t="s">
        <v>197</v>
      </c>
      <c r="B37" s="316"/>
      <c r="C37" s="43">
        <f t="shared" ca="1" si="6"/>
        <v>46619</v>
      </c>
      <c r="D37" s="331" t="s">
        <v>159</v>
      </c>
      <c r="E37" s="316"/>
      <c r="F37" s="116">
        <v>0</v>
      </c>
      <c r="G37" s="116">
        <f>IF($C$17="tt chuẩn",20%*$G$21,"")</f>
        <v>0</v>
      </c>
      <c r="H37" s="117">
        <f t="shared" si="7"/>
        <v>0</v>
      </c>
      <c r="I37" s="44"/>
    </row>
    <row r="38" spans="1:9" ht="21.75" customHeight="1">
      <c r="A38" s="315" t="s">
        <v>198</v>
      </c>
      <c r="B38" s="316"/>
      <c r="C38" s="43">
        <f t="shared" ca="1" si="6"/>
        <v>46679</v>
      </c>
      <c r="D38" s="331" t="s">
        <v>160</v>
      </c>
      <c r="E38" s="316"/>
      <c r="F38" s="116">
        <v>0</v>
      </c>
      <c r="G38" s="116">
        <f>IF($C$17="tt chuẩn",15%*$G$21,"")</f>
        <v>0</v>
      </c>
      <c r="H38" s="117">
        <f t="shared" si="7"/>
        <v>0</v>
      </c>
      <c r="I38" s="44"/>
    </row>
    <row r="39" spans="1:9" ht="21" customHeight="1">
      <c r="A39" s="324" t="s">
        <v>161</v>
      </c>
      <c r="B39" s="325"/>
      <c r="C39" s="325"/>
      <c r="D39" s="325"/>
      <c r="E39" s="325"/>
      <c r="F39" s="119">
        <f>ROUND(SUM(F26:F38),0)</f>
        <v>11345492714</v>
      </c>
      <c r="G39" s="119">
        <f>ROUND(SUM(G26:G38),0)</f>
        <v>0</v>
      </c>
      <c r="H39" s="119">
        <f>ROUND(SUM(H26:H38),0)</f>
        <v>11345492714</v>
      </c>
      <c r="I39" s="47"/>
    </row>
    <row r="40" spans="1:9" ht="13.5" customHeight="1">
      <c r="A40" s="25"/>
      <c r="B40" s="25"/>
      <c r="C40" s="26"/>
      <c r="D40" s="25"/>
      <c r="E40" s="25"/>
      <c r="F40" s="25"/>
      <c r="G40" s="25"/>
      <c r="H40" s="48"/>
      <c r="I40" s="48"/>
    </row>
    <row r="41" spans="1:9" ht="13.5" customHeight="1">
      <c r="A41" s="25"/>
      <c r="B41" s="25"/>
      <c r="C41" s="26"/>
      <c r="D41" s="25"/>
      <c r="E41" s="25"/>
      <c r="F41" s="25"/>
      <c r="G41" s="25"/>
      <c r="H41" s="49"/>
      <c r="I41" s="1"/>
    </row>
    <row r="42" spans="1:9" ht="28.15" customHeight="1">
      <c r="A42" s="326" t="s">
        <v>211</v>
      </c>
      <c r="B42" s="327"/>
      <c r="C42" s="327"/>
      <c r="D42" s="327"/>
      <c r="E42" s="327"/>
      <c r="F42" s="327"/>
      <c r="G42" s="327"/>
      <c r="H42" s="327"/>
      <c r="I42" s="327"/>
    </row>
    <row r="43" spans="1:9" ht="28.15" customHeight="1">
      <c r="A43" s="324" t="s">
        <v>155</v>
      </c>
      <c r="B43" s="316"/>
      <c r="C43" s="40" t="s">
        <v>156</v>
      </c>
      <c r="D43" s="328" t="s">
        <v>157</v>
      </c>
      <c r="E43" s="325"/>
      <c r="F43" s="39" t="s">
        <v>158</v>
      </c>
      <c r="G43" s="39" t="s">
        <v>145</v>
      </c>
      <c r="H43" s="41" t="s">
        <v>146</v>
      </c>
      <c r="I43" s="42" t="s">
        <v>113</v>
      </c>
    </row>
    <row r="44" spans="1:9" ht="21" customHeight="1">
      <c r="A44" s="317" t="s">
        <v>188</v>
      </c>
      <c r="B44" s="318"/>
      <c r="C44" s="318"/>
      <c r="D44" s="318"/>
      <c r="E44" s="318"/>
      <c r="F44" s="318"/>
      <c r="G44" s="318"/>
      <c r="H44" s="318"/>
      <c r="I44" s="318"/>
    </row>
    <row r="45" spans="1:9" ht="21" customHeight="1">
      <c r="A45" s="315" t="s">
        <v>200</v>
      </c>
      <c r="B45" s="316"/>
      <c r="C45" s="43">
        <f ca="1">F7</f>
        <v>46309</v>
      </c>
      <c r="D45" s="329"/>
      <c r="E45" s="310"/>
      <c r="F45" s="116" t="str" cm="1">
        <f t="array" ref="F45">_xlfn.IFS($C$17="TT chuẩn","",$C$17="TT trước hạn 50%",200000000,$C$17="TT trước hạn 70%",200000000,$C$17="TT trước hạn 100%",500000000,TRUE,"")</f>
        <v/>
      </c>
      <c r="G45" s="116">
        <v>0</v>
      </c>
      <c r="H45" s="117" t="str">
        <f>IF(OR(F45="",G45=""),"",F45+G45)</f>
        <v/>
      </c>
      <c r="I45" s="44"/>
    </row>
    <row r="46" spans="1:9" ht="21" customHeight="1">
      <c r="A46" s="317" t="s">
        <v>189</v>
      </c>
      <c r="B46" s="318"/>
      <c r="C46" s="318"/>
      <c r="D46" s="318"/>
      <c r="E46" s="318"/>
      <c r="F46" s="318"/>
      <c r="G46" s="318"/>
      <c r="H46" s="318"/>
      <c r="I46" s="330"/>
    </row>
    <row r="47" spans="1:9" ht="21" customHeight="1">
      <c r="A47" s="315" t="s">
        <v>201</v>
      </c>
      <c r="B47" s="316"/>
      <c r="C47" s="43">
        <f ca="1">C45+10</f>
        <v>46319</v>
      </c>
      <c r="D47" s="309" t="str" cm="1">
        <f t="array" ref="D47">_xlfn.IFS($C$17="TT chuẩn","",$C$17="TT trước hạn 50%","50% Giá trị QSDĐ và TM",$C$17="TT trước hạn 70%","70% Giá trị QSDĐ và TM",$C$17="TT trước hạn 100%","100% Giá trị QSDĐ và TM",TRUE,"")</f>
        <v/>
      </c>
      <c r="E47" s="310"/>
      <c r="F47" s="116" t="str" cm="1">
        <f t="array" ref="F47">_xlfn.IFS($C$17="TT chuẩn","",$C$17="TT trước hạn 50%",50%*$F$21-F45,$C$17="TT trước hạn 70%",70%*$F$21-F45,$C$17="TT trước hạn 100%",100%*$F$21-F45,TRUE,"")</f>
        <v/>
      </c>
      <c r="G47" s="116">
        <v>0</v>
      </c>
      <c r="H47" s="117" t="str">
        <f>IF(OR(F47="",G47=""),"",F47+G47)</f>
        <v/>
      </c>
      <c r="I47" s="44"/>
    </row>
    <row r="48" spans="1:9" ht="21" customHeight="1">
      <c r="A48" s="315" t="s">
        <v>213</v>
      </c>
      <c r="B48" s="316"/>
      <c r="C48" s="43">
        <f ca="1">C47+360</f>
        <v>46679</v>
      </c>
      <c r="D48" s="309" t="str" cm="1">
        <f t="array" ref="D48">_xlfn.IFS($C$17="TT chuẩn","",$C$17="TT trước hạn 50%","50% Giá trị QSDĐ và TM",$C$17="TT trước hạn 70%","30% Giá trị QSDĐ và TM",$C$17="TT trước hạn 100%","",TRUE,"")</f>
        <v/>
      </c>
      <c r="E48" s="310"/>
      <c r="F48" s="116" t="str" cm="1">
        <f t="array" ref="F48">_xlfn.IFS($C$17="TT chuẩn","",$C$17="TT trước hạn 50%",50%*$F$21,$C$17="TT trước hạn 70%",30%*$F$21,$C$17="TT trước hạn 100%","",TRUE,"")</f>
        <v/>
      </c>
      <c r="G48" s="116">
        <v>0</v>
      </c>
      <c r="H48" s="117" t="str">
        <f>IF(OR(F48="",G48=""),"",F48+G48)</f>
        <v/>
      </c>
      <c r="I48" s="44"/>
    </row>
    <row r="49" spans="1:9" ht="21" customHeight="1">
      <c r="A49" s="311" t="s">
        <v>194</v>
      </c>
      <c r="B49" s="312"/>
      <c r="C49" s="45">
        <f ca="1">C34</f>
        <v>46439</v>
      </c>
      <c r="D49" s="313" t="str" cm="1">
        <f t="array" ref="D49">_xlfn.IFS($C$17="TT chuẩn","",$C$17="TT trước hạn 50%","30% Giá trị xây dựng gồm VAT",$C$17="TT trước hạn 70%","30% Giá trị xây dựng gồm VAT",$C$17="TT trước hạn 100%","30% Giá trị xây dựng gồm VAT",TRUE,"")</f>
        <v/>
      </c>
      <c r="E49" s="314"/>
      <c r="F49" s="118">
        <v>0</v>
      </c>
      <c r="G49" s="118" t="str">
        <f>IF($C$17="tt chuẩn","",30%*$G$21)</f>
        <v/>
      </c>
      <c r="H49" s="118" t="str">
        <f t="shared" ref="H49:H53" si="8">IF(OR(F49="",G49=""),"",F49+G49)</f>
        <v/>
      </c>
      <c r="I49" s="46"/>
    </row>
    <row r="50" spans="1:9" ht="21" customHeight="1">
      <c r="A50" s="315" t="s">
        <v>195</v>
      </c>
      <c r="B50" s="316"/>
      <c r="C50" s="43">
        <f ca="1">C49+60</f>
        <v>46499</v>
      </c>
      <c r="D50" s="309" t="str" cm="1">
        <f t="array" ref="D50">_xlfn.IFS($C$17="TT chuẩn","",$C$17="TT trước hạn 50%","15% Giá trị xây dựng gồm VAT",$C$17="TT trước hạn 70%","15% Giá trị xây dựng gồm VAT",$C$17="TT trước hạn 100%","15% Giá trị xây dựng gồm VAT",TRUE,"")</f>
        <v/>
      </c>
      <c r="E50" s="310"/>
      <c r="F50" s="116">
        <v>0</v>
      </c>
      <c r="G50" s="116" t="str">
        <f>IF($C$17="tt chuẩn","",15%*$G$21)</f>
        <v/>
      </c>
      <c r="H50" s="117" t="str">
        <f t="shared" si="8"/>
        <v/>
      </c>
      <c r="I50" s="44"/>
    </row>
    <row r="51" spans="1:9" ht="21" customHeight="1">
      <c r="A51" s="315" t="s">
        <v>196</v>
      </c>
      <c r="B51" s="316"/>
      <c r="C51" s="43">
        <f t="shared" ref="C51:C53" ca="1" si="9">C50+60</f>
        <v>46559</v>
      </c>
      <c r="D51" s="309" t="str" cm="1">
        <f t="array" ref="D51">_xlfn.IFS($C$17="TT chuẩn","",$C$17="TT trước hạn 50%","20% Giá trị xây dựng gồm VAT",$C$17="TT trước hạn 70%","20% Giá trị xây dựng gồm VAT",$C$17="TT trước hạn 100%","20% Giá trị xây dựng gồm VAT",TRUE,"")</f>
        <v/>
      </c>
      <c r="E51" s="310"/>
      <c r="F51" s="116">
        <v>0</v>
      </c>
      <c r="G51" s="116" t="str">
        <f>IF($C$17="tt chuẩn","",20%*$G$21)</f>
        <v/>
      </c>
      <c r="H51" s="117" t="str">
        <f t="shared" si="8"/>
        <v/>
      </c>
      <c r="I51" s="44"/>
    </row>
    <row r="52" spans="1:9" ht="21" customHeight="1">
      <c r="A52" s="315" t="s">
        <v>197</v>
      </c>
      <c r="B52" s="316"/>
      <c r="C52" s="43">
        <f t="shared" ca="1" si="9"/>
        <v>46619</v>
      </c>
      <c r="D52" s="309" t="str" cm="1">
        <f t="array" ref="D52">_xlfn.IFS($C$17="TT chuẩn","",$C$17="TT trước hạn 50%","20% Giá trị xây dựng gồm VAT",$C$17="TT trước hạn 70%","20% Giá trị xây dựng gồm VAT",$C$17="TT trước hạn 100%","20% Giá trị xây dựng gồm VAT",TRUE,"")</f>
        <v/>
      </c>
      <c r="E52" s="310"/>
      <c r="F52" s="116">
        <v>0</v>
      </c>
      <c r="G52" s="116" t="str">
        <f>IF($C$17="tt chuẩn","",20%*$G$21)</f>
        <v/>
      </c>
      <c r="H52" s="117" t="str">
        <f t="shared" si="8"/>
        <v/>
      </c>
      <c r="I52" s="44"/>
    </row>
    <row r="53" spans="1:9" ht="21" customHeight="1">
      <c r="A53" s="315" t="s">
        <v>198</v>
      </c>
      <c r="B53" s="316"/>
      <c r="C53" s="43">
        <f t="shared" ca="1" si="9"/>
        <v>46679</v>
      </c>
      <c r="D53" s="309" t="str" cm="1">
        <f t="array" ref="D53">_xlfn.IFS($C$17="TT chuẩn","",$C$17="TT trước hạn 50%","15% Giá trị xây dựng gồm VAT",$C$17="TT trước hạn 70%","15% Giá trị xây dựng gồm VAT",$C$17="TT trước hạn 100%","15% Giá trị xây dựng gồm VAT",TRUE,"")</f>
        <v/>
      </c>
      <c r="E53" s="310"/>
      <c r="F53" s="116">
        <v>0</v>
      </c>
      <c r="G53" s="116" t="str">
        <f>IF($C$17="tt chuẩn","",15%*$G$21)</f>
        <v/>
      </c>
      <c r="H53" s="117" t="str">
        <f t="shared" si="8"/>
        <v/>
      </c>
      <c r="I53" s="44"/>
    </row>
    <row r="54" spans="1:9" ht="21" customHeight="1">
      <c r="A54" s="324" t="s">
        <v>161</v>
      </c>
      <c r="B54" s="325"/>
      <c r="C54" s="325"/>
      <c r="D54" s="325"/>
      <c r="E54" s="325"/>
      <c r="F54" s="47">
        <f>ROUND(SUM(F42:F53),0)</f>
        <v>0</v>
      </c>
      <c r="G54" s="47">
        <f>ROUND(SUM(G42:G53),0)</f>
        <v>0</v>
      </c>
      <c r="H54" s="47">
        <f>IF(OR(F54="",G54=""),"",F54+G54)</f>
        <v>0</v>
      </c>
      <c r="I54" s="47"/>
    </row>
    <row r="55" spans="1:9" ht="21" customHeight="1">
      <c r="A55" s="1"/>
      <c r="B55" s="1"/>
      <c r="C55" s="7"/>
      <c r="D55" s="1"/>
      <c r="E55" s="1"/>
      <c r="F55" s="1"/>
      <c r="G55" s="1"/>
      <c r="H55" s="1"/>
      <c r="I55" s="1"/>
    </row>
    <row r="56" spans="1:9" ht="13.5" customHeight="1">
      <c r="A56" s="1"/>
      <c r="B56" s="1"/>
      <c r="C56" s="7"/>
      <c r="D56" s="1"/>
      <c r="E56" s="1"/>
      <c r="F56" s="1"/>
      <c r="G56" s="1"/>
      <c r="H56" s="1"/>
      <c r="I56" s="1"/>
    </row>
    <row r="57" spans="1:9" ht="28.5" customHeight="1">
      <c r="A57" s="319"/>
      <c r="B57" s="320"/>
      <c r="C57" s="320"/>
      <c r="D57" s="320"/>
      <c r="E57" s="320"/>
      <c r="F57" s="320"/>
      <c r="G57" s="321"/>
      <c r="H57" s="50"/>
      <c r="I57" s="1"/>
    </row>
    <row r="58" spans="1:9" ht="28.5" customHeight="1">
      <c r="A58" s="322"/>
      <c r="B58" s="323"/>
      <c r="C58" s="323"/>
      <c r="D58" s="323"/>
      <c r="E58" s="323"/>
      <c r="F58" s="323"/>
      <c r="G58" s="323"/>
      <c r="H58" s="323"/>
    </row>
  </sheetData>
  <sheetProtection algorithmName="SHA-512" hashValue="qrcS57+d3OjLVRsrtkMhQh6pLZeYzExlD9z2htb/td7xA6wmPYlPuyKidr6dQbHTQfdrI2DDeS8ubXHIURdI5A==" saltValue="JKLaajepiLhan7XO/WTXRw==" spinCount="100000" sheet="1" objects="1" scenarios="1"/>
  <mergeCells count="76">
    <mergeCell ref="A11:E11"/>
    <mergeCell ref="A1:A3"/>
    <mergeCell ref="B1:B3"/>
    <mergeCell ref="C1:H1"/>
    <mergeCell ref="C2:H2"/>
    <mergeCell ref="C3:H3"/>
    <mergeCell ref="A4:H4"/>
    <mergeCell ref="A5:H5"/>
    <mergeCell ref="G6:H6"/>
    <mergeCell ref="G7:H7"/>
    <mergeCell ref="A9:I9"/>
    <mergeCell ref="A10:B10"/>
    <mergeCell ref="A23:I23"/>
    <mergeCell ref="A17:B17"/>
    <mergeCell ref="A12:B12"/>
    <mergeCell ref="A13:B13"/>
    <mergeCell ref="A14:B14"/>
    <mergeCell ref="A15:B15"/>
    <mergeCell ref="A16:B16"/>
    <mergeCell ref="A18:B18"/>
    <mergeCell ref="A19:B19"/>
    <mergeCell ref="A20:B20"/>
    <mergeCell ref="A21:B21"/>
    <mergeCell ref="A30:B30"/>
    <mergeCell ref="D30:E30"/>
    <mergeCell ref="A24:B24"/>
    <mergeCell ref="D24:E24"/>
    <mergeCell ref="A26:B26"/>
    <mergeCell ref="D26:E26"/>
    <mergeCell ref="A25:I25"/>
    <mergeCell ref="A27:I27"/>
    <mergeCell ref="A28:B28"/>
    <mergeCell ref="D28:E28"/>
    <mergeCell ref="A29:B29"/>
    <mergeCell ref="D29:E29"/>
    <mergeCell ref="A31:B31"/>
    <mergeCell ref="D31:E31"/>
    <mergeCell ref="A32:B32"/>
    <mergeCell ref="D32:E32"/>
    <mergeCell ref="A33:B33"/>
    <mergeCell ref="D33:E33"/>
    <mergeCell ref="A34:B34"/>
    <mergeCell ref="D34:E34"/>
    <mergeCell ref="A35:B35"/>
    <mergeCell ref="D35:E35"/>
    <mergeCell ref="A36:B36"/>
    <mergeCell ref="D36:E36"/>
    <mergeCell ref="A39:E39"/>
    <mergeCell ref="A37:B37"/>
    <mergeCell ref="D37:E37"/>
    <mergeCell ref="A38:B38"/>
    <mergeCell ref="D38:E38"/>
    <mergeCell ref="A42:I42"/>
    <mergeCell ref="A43:B43"/>
    <mergeCell ref="D43:E43"/>
    <mergeCell ref="A45:B45"/>
    <mergeCell ref="A47:B47"/>
    <mergeCell ref="D45:E45"/>
    <mergeCell ref="A46:I46"/>
    <mergeCell ref="D47:E47"/>
    <mergeCell ref="A57:G57"/>
    <mergeCell ref="A58:H58"/>
    <mergeCell ref="A50:B50"/>
    <mergeCell ref="A51:B51"/>
    <mergeCell ref="A52:B52"/>
    <mergeCell ref="A53:B53"/>
    <mergeCell ref="A54:E54"/>
    <mergeCell ref="D50:E50"/>
    <mergeCell ref="D51:E51"/>
    <mergeCell ref="D52:E52"/>
    <mergeCell ref="D53:E53"/>
    <mergeCell ref="D48:E48"/>
    <mergeCell ref="A49:B49"/>
    <mergeCell ref="D49:E49"/>
    <mergeCell ref="A48:B48"/>
    <mergeCell ref="A44:I44"/>
  </mergeCells>
  <conditionalFormatting sqref="C12:E17">
    <cfRule type="cellIs" dxfId="0" priority="1" operator="equal">
      <formula>"CÓ"</formula>
    </cfRule>
  </conditionalFormatting>
  <dataValidations count="2">
    <dataValidation type="list" allowBlank="1" showInputMessage="1" showErrorMessage="1" sqref="C14:C15 C13" xr:uid="{77DF47B6-15E4-C340-B213-C1C77EDC1915}">
      <formula1>"CÓ,KHÔNG"</formula1>
    </dataValidation>
    <dataValidation type="list" allowBlank="1" showInputMessage="1" showErrorMessage="1" sqref="C17" xr:uid="{60449ABA-AF83-BE47-A7B5-87DA38A38762}">
      <formula1>"TT CHUẨN,TT TRƯỚC HẠN 50%,TT TRƯỚC HẠN 70%, TT TRƯỚC HẠN 100%"</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0D1FF-10F8-4789-A105-73815D9F83F9}">
  <sheetPr codeName="Trang_tính5"/>
  <dimension ref="A1:I53"/>
  <sheetViews>
    <sheetView showGridLines="0" zoomScale="110" zoomScaleNormal="110" workbookViewId="0">
      <pane ySplit="5" topLeftCell="A6" activePane="bottomLeft" state="frozen"/>
      <selection pane="bottomLeft" activeCell="E12" sqref="E12:F12"/>
    </sheetView>
  </sheetViews>
  <sheetFormatPr defaultColWidth="8.83203125" defaultRowHeight="12.75"/>
  <cols>
    <col min="1" max="1" width="13" style="163" customWidth="1"/>
    <col min="2" max="2" width="25.5" style="163" customWidth="1"/>
    <col min="3" max="3" width="15" style="163" customWidth="1"/>
    <col min="4" max="5" width="20.1640625" style="163" customWidth="1"/>
    <col min="6" max="6" width="18" style="163" customWidth="1"/>
    <col min="7" max="7" width="2.1640625" style="163" customWidth="1"/>
    <col min="8" max="8" width="42.6640625" style="163" customWidth="1"/>
    <col min="9" max="9" width="17.83203125" style="163" bestFit="1" customWidth="1"/>
    <col min="10" max="10" width="8.83203125" style="163" customWidth="1"/>
    <col min="11" max="11" width="11" style="163" bestFit="1" customWidth="1"/>
    <col min="12" max="16384" width="8.83203125" style="163"/>
  </cols>
  <sheetData>
    <row r="1" spans="1:9" ht="20.25">
      <c r="A1" s="206" t="s">
        <v>249</v>
      </c>
      <c r="B1" s="206"/>
      <c r="C1" s="206"/>
      <c r="D1" s="206"/>
      <c r="E1" s="206"/>
      <c r="F1" s="206"/>
      <c r="G1" s="206"/>
      <c r="H1" s="206"/>
    </row>
    <row r="2" spans="1:9">
      <c r="A2" s="207" t="s">
        <v>250</v>
      </c>
      <c r="B2" s="207"/>
      <c r="C2" s="207"/>
      <c r="D2" s="207"/>
      <c r="E2" s="207"/>
      <c r="F2" s="207"/>
      <c r="G2" s="207"/>
      <c r="H2" s="207"/>
    </row>
    <row r="3" spans="1:9">
      <c r="A3" s="208" t="s">
        <v>251</v>
      </c>
      <c r="B3" s="208"/>
      <c r="C3" s="209">
        <f ca="1">TODAY()</f>
        <v>46309</v>
      </c>
      <c r="D3" s="209"/>
      <c r="E3" s="208" t="s">
        <v>252</v>
      </c>
      <c r="F3" s="208"/>
      <c r="G3" s="209">
        <f ca="1">TODAY()</f>
        <v>46309</v>
      </c>
      <c r="H3" s="209"/>
    </row>
    <row r="4" spans="1:9">
      <c r="A4" s="208" t="s">
        <v>253</v>
      </c>
      <c r="B4" s="208"/>
      <c r="C4" s="210"/>
      <c r="D4" s="210"/>
      <c r="E4" s="208" t="s">
        <v>254</v>
      </c>
      <c r="F4" s="208"/>
      <c r="G4" s="211" t="s">
        <v>255</v>
      </c>
      <c r="H4" s="211"/>
    </row>
    <row r="5" spans="1:9">
      <c r="A5" s="208" t="s">
        <v>256</v>
      </c>
      <c r="B5" s="208"/>
      <c r="C5" s="212" t="s">
        <v>304</v>
      </c>
      <c r="D5" s="212"/>
      <c r="E5" s="208" t="s">
        <v>257</v>
      </c>
      <c r="F5" s="208"/>
      <c r="G5" s="212" t="s">
        <v>289</v>
      </c>
      <c r="H5" s="212"/>
    </row>
    <row r="6" spans="1:9">
      <c r="A6" s="213" t="s">
        <v>258</v>
      </c>
      <c r="B6" s="213"/>
      <c r="C6" s="212" t="s">
        <v>286</v>
      </c>
      <c r="D6" s="212"/>
      <c r="E6" s="213" t="s">
        <v>259</v>
      </c>
      <c r="F6" s="213"/>
      <c r="G6" s="212" t="s">
        <v>260</v>
      </c>
      <c r="H6" s="212"/>
    </row>
    <row r="7" spans="1:9">
      <c r="A7" s="214" t="s">
        <v>261</v>
      </c>
      <c r="B7" s="214"/>
      <c r="C7" s="214"/>
      <c r="D7" s="214"/>
      <c r="E7" s="214"/>
      <c r="F7" s="214"/>
      <c r="G7" s="214"/>
      <c r="H7" s="214"/>
    </row>
    <row r="8" spans="1:9">
      <c r="A8" s="207" t="s">
        <v>262</v>
      </c>
      <c r="B8" s="207"/>
      <c r="C8" s="207"/>
      <c r="D8" s="207"/>
      <c r="E8" s="207" t="s">
        <v>303</v>
      </c>
      <c r="F8" s="207"/>
      <c r="G8" s="207"/>
      <c r="H8" s="207"/>
    </row>
    <row r="9" spans="1:9">
      <c r="A9" s="216" t="s">
        <v>263</v>
      </c>
      <c r="B9" s="216"/>
      <c r="C9" s="217" t="str">
        <f>$C$5</f>
        <v>A.15</v>
      </c>
      <c r="D9" s="217"/>
      <c r="E9" s="218" t="s">
        <v>301</v>
      </c>
      <c r="F9" s="218"/>
      <c r="G9" s="219">
        <f>IF($C$6="OP1 - KH mua đất","-",IF($G$6="Quy đổi giảm giá",800000000,"Nhận hoàn thiện nội thất"))</f>
        <v>800000000</v>
      </c>
      <c r="H9" s="220"/>
    </row>
    <row r="10" spans="1:9">
      <c r="A10" s="216" t="s">
        <v>279</v>
      </c>
      <c r="B10" s="216"/>
      <c r="C10" s="223" t="str">
        <f>IFERROR(INDEX('Bảng giá'!$R$4:$R$41,MATCH($C$5,'Bảng giá'!$D$4:$D$41,0)),0)</f>
        <v>Điền An</v>
      </c>
      <c r="D10" s="223"/>
      <c r="E10" s="222" t="s">
        <v>292</v>
      </c>
      <c r="F10" s="222"/>
      <c r="G10" s="219">
        <f>IF($G$5="PA1 - Thanh toán chuẩn",200000000,IF($G$5="PA2 - Thanh toán ưu việt 50%",600000000,IF($G$5="PA3 - Thanh toán ưu việt 70%",800000000,1000000000)))</f>
        <v>200000000</v>
      </c>
      <c r="H10" s="220"/>
    </row>
    <row r="11" spans="1:9" ht="13.9" customHeight="1">
      <c r="A11" s="258" t="s">
        <v>277</v>
      </c>
      <c r="B11" s="258"/>
      <c r="C11" s="221">
        <f>IFERROR(INDEX('Bảng giá'!$L$4:$L$41,MATCH($C$5,'Bảng giá'!$D$4:$D$41,0)),0)</f>
        <v>1115.7</v>
      </c>
      <c r="D11" s="221"/>
      <c r="E11" s="218"/>
      <c r="F11" s="218"/>
      <c r="G11" s="259"/>
      <c r="H11" s="259"/>
    </row>
    <row r="12" spans="1:9">
      <c r="A12" s="258" t="s">
        <v>278</v>
      </c>
      <c r="B12" s="258"/>
      <c r="C12" s="221">
        <f>IFERROR(INDEX('Bảng giá'!$U$4:$U$41,MATCH($C$5,'Bảng giá'!$D$4:$D$41,0)),0)</f>
        <v>850</v>
      </c>
      <c r="D12" s="221"/>
      <c r="E12" s="218"/>
      <c r="F12" s="218"/>
      <c r="G12" s="259"/>
      <c r="H12" s="259"/>
    </row>
    <row r="13" spans="1:9" ht="13.9" customHeight="1">
      <c r="A13" s="258" t="s">
        <v>282</v>
      </c>
      <c r="B13" s="258"/>
      <c r="C13" s="261">
        <f>IFERROR(INDEX('Bảng giá'!$T$4:$T$41,MATCH($C$5,'Bảng giá'!$D$4:$D$41,0)),0)</f>
        <v>10119999999.697502</v>
      </c>
      <c r="D13" s="262"/>
      <c r="F13" s="152"/>
      <c r="H13" s="153"/>
    </row>
    <row r="14" spans="1:9" ht="13.9" customHeight="1">
      <c r="A14" s="258" t="s">
        <v>293</v>
      </c>
      <c r="B14" s="258"/>
      <c r="C14" s="261">
        <f>IF(AND(ISNUMBER(SEARCH("OP2",$C$6)),OR($C$10="Điền An",$C$10="Biệt phủ")),IFERROR(INDEX('Bảng giá'!$X$6:$X$41,MATCH($C$5,'Bảng giá'!$D$6:$D$41,0)),0),0)</f>
        <v>7480000000.000001</v>
      </c>
      <c r="D14" s="262"/>
      <c r="F14" s="152"/>
      <c r="H14" s="154"/>
    </row>
    <row r="15" spans="1:9" ht="13.9" customHeight="1">
      <c r="A15" s="258" t="s">
        <v>280</v>
      </c>
      <c r="B15" s="258"/>
      <c r="C15" s="261">
        <f>SUM(C13:D14)</f>
        <v>17599999999.697502</v>
      </c>
      <c r="D15" s="262"/>
      <c r="E15" s="178"/>
      <c r="F15" s="177"/>
      <c r="G15" s="147"/>
      <c r="H15" s="147"/>
    </row>
    <row r="16" spans="1:9">
      <c r="A16" s="224" t="s">
        <v>288</v>
      </c>
      <c r="B16" s="224"/>
      <c r="C16" s="225"/>
      <c r="D16" s="225"/>
      <c r="E16" s="224"/>
      <c r="F16" s="224"/>
      <c r="G16" s="226">
        <f>SUM(G9:H12)</f>
        <v>1000000000</v>
      </c>
      <c r="H16" s="226"/>
      <c r="I16" s="164"/>
    </row>
    <row r="17" spans="1:9">
      <c r="A17" s="227" t="s">
        <v>264</v>
      </c>
      <c r="B17" s="227"/>
      <c r="C17" s="228"/>
      <c r="D17" s="228"/>
      <c r="E17" s="227"/>
      <c r="F17" s="227"/>
      <c r="G17" s="229">
        <f>($C$13-$G$16)+$C$14</f>
        <v>16599999999.697502</v>
      </c>
      <c r="H17" s="229"/>
      <c r="I17" s="164"/>
    </row>
    <row r="18" spans="1:9" ht="22.15" customHeight="1">
      <c r="A18" s="214" t="s">
        <v>281</v>
      </c>
      <c r="B18" s="214"/>
      <c r="C18" s="214"/>
      <c r="D18" s="214"/>
      <c r="E18" s="214"/>
      <c r="F18" s="214"/>
      <c r="G18" s="214"/>
      <c r="H18" s="214"/>
    </row>
    <row r="19" spans="1:9">
      <c r="A19" s="165" t="s">
        <v>265</v>
      </c>
      <c r="B19" s="215" t="s">
        <v>266</v>
      </c>
      <c r="C19" s="215"/>
      <c r="D19" s="165" t="s">
        <v>267</v>
      </c>
      <c r="E19" s="165" t="s">
        <v>268</v>
      </c>
      <c r="F19" s="215" t="s">
        <v>269</v>
      </c>
      <c r="G19" s="215"/>
      <c r="H19" s="165" t="s">
        <v>113</v>
      </c>
      <c r="I19" s="164"/>
    </row>
    <row r="20" spans="1:9">
      <c r="A20" s="166" t="s">
        <v>188</v>
      </c>
      <c r="B20" s="230" t="str">
        <f>IF($G$5="PA4 - Thanh toán ưu việt 100%",CSBH!$B$41,CSBH!$B$13)</f>
        <v>Đặt cọc</v>
      </c>
      <c r="C20" s="230"/>
      <c r="D20" s="168">
        <f ca="1">$G$3</f>
        <v>46309</v>
      </c>
      <c r="E20" s="166"/>
      <c r="F20" s="231">
        <f>IF($G$5="PA4 - Thanh toán ưu việt 100%",CSBH!$C$41,CSBH!$C$13)</f>
        <v>200000000</v>
      </c>
      <c r="G20" s="230"/>
      <c r="H20" s="167" t="str">
        <f>IF($G$5="PA4 - Thanh toán ưu việt 100%",CSBH!$D$41,CSBH!$D$13)</f>
        <v>Ký phiếu đặt cọc</v>
      </c>
      <c r="I20" s="169"/>
    </row>
    <row r="21" spans="1:9">
      <c r="A21" s="166" t="str">
        <f>IF($G$5="PA1 - Thanh toán chuẩn",CSBH!$A$14,IF($G$5="PA2 - Thanh toán ưu việt 50%",CSBH!$A$26,IF($G$5="PA3 - Thanh toán ưu việt 70%",CSBH!$A$34,CSBH!$A$42)))</f>
        <v>Đợt 1</v>
      </c>
      <c r="B21" s="230" t="str">
        <f>IF($G$5="PA1 - Thanh toán chuẩn",CSBH!$B$14,IF($G$5="PA2 - Thanh toán ưu việt 50%",CSBH!$B$26,IF($G$5="PA3 - Thanh toán ưu việt 70%",CSBH!$B$34,CSBH!$B$42)))</f>
        <v>Trong vòng 10 ngày kể từ ngày cọc</v>
      </c>
      <c r="C21" s="230"/>
      <c r="D21" s="168">
        <f ca="1">$G$3+IF($G$5="PA4 - Thanh toán ưu việt 100%",20,10)</f>
        <v>46319</v>
      </c>
      <c r="E21" s="170">
        <f>IF($G$5="PA1 - Thanh toán chuẩn",CSBH!$C$14,IF($G$5="PA2 - Thanh toán ưu việt 50%",CSBH!$C$26,IF($G$5="PA3 - Thanh toán ưu việt 70%",CSBH!$C$34,CSBH!$C$42)))</f>
        <v>0.2</v>
      </c>
      <c r="F21" s="231">
        <f>MAX(MAX($G$17-IF($C$6="OP2 - KH mua đất + xây dựng",INDEX('Bảng giá'!$X$6:$X$41,MATCH($C$5,'Bảng giá'!$D$6:$D$41,0)),0),0)*E21-F20,0)</f>
        <v>1623999999.9395006</v>
      </c>
      <c r="G21" s="230"/>
      <c r="H21" s="167" t="str">
        <f>IF($G$5="PA1 - Thanh toán chuẩn",CSBH!$D$14,IF($G$5="PA2 - Thanh toán ưu việt 50%",CSBH!$D$26,IF($G$5="PA3 - Thanh toán ưu việt 70%",CSBH!$D$34,CSBH!$D$42)))</f>
        <v xml:space="preserve">Ký HĐ đặt cọc </v>
      </c>
      <c r="I21" s="171"/>
    </row>
    <row r="22" spans="1:9" ht="13.9" customHeight="1">
      <c r="A22" s="166" t="str">
        <f>IF($G$5="PA1 - Thanh toán chuẩn",CSBH!$A$15,IF($G$5="PA2 - Thanh toán ưu việt 50%",CSBH!$A$27,IF($G$5="PA3 - Thanh toán ưu việt 70%",CSBH!$A$35,"")))</f>
        <v>Đợt 2</v>
      </c>
      <c r="B22" s="230" t="str">
        <f>IF($G$5="PA1 - Thanh toán chuẩn",CSBH!$B$15,IF($G$5="PA2 - Thanh toán ưu việt 50%",CSBH!$B$27,IF($G$5="PA3 - Thanh toán ưu việt 70%",CSBH!$B$35,"")))</f>
        <v>Trong vòng 2 tháng kể từ ngày ký HĐ đặt cọc</v>
      </c>
      <c r="C22" s="230"/>
      <c r="D22" s="168">
        <f ca="1">IF($G$5="PA1 - Thanh toán chuẩn",EDATE($D$21,2),IF(OR($G$5="PA2 - Thanh toán ưu việt 50%",$G$5="PA3 - Thanh toán ưu việt 70%"),EDATE($D$21,12),""))</f>
        <v>46380</v>
      </c>
      <c r="E22" s="170">
        <f>IF($G$5="PA1 - Thanh toán chuẩn",CSBH!$C$15,IF($G$5="PA2 - Thanh toán ưu việt 50%",CSBH!$C$27,IF($G$5="PA3 - Thanh toán ưu việt 70%",CSBH!$C$35,"")))</f>
        <v>0.1</v>
      </c>
      <c r="F22" s="231">
        <f>IF(E22="","",MAX(MAX($G$17-IF($C$6="OP2 - KH mua đất + xây dựng",INDEX('Bảng giá'!$X$6:$X$41,MATCH($C$5,'Bảng giá'!$D$6:$D$41,0)),0),0)*E22,0))</f>
        <v>911999999.96975029</v>
      </c>
      <c r="G22" s="230"/>
      <c r="H22" s="167" t="str">
        <f>IF($G$5="PA1 - Thanh toán chuẩn","",IF($G$5="PA2 - Thanh toán ưu việt 50%",CSBH!$D$27,IF($G$5="PA3 - Thanh toán ưu việt 70%",CSBH!$D$35,"")))</f>
        <v/>
      </c>
    </row>
    <row r="23" spans="1:9">
      <c r="A23" s="166" t="str">
        <f>IF($G$5="PA1 - Thanh toán chuẩn",CSBH!$A$16,"")</f>
        <v>Đợt 3</v>
      </c>
      <c r="B23" s="230" t="str">
        <f>IF($G$5="PA1 - Thanh toán chuẩn",CSBH!$B$16,"")</f>
        <v>Trong vòng 4 tháng kể từ ngày ký HĐ đặt cọc</v>
      </c>
      <c r="C23" s="230"/>
      <c r="D23" s="168">
        <f ca="1">IF($G$5="PA1 - Thanh toán chuẩn",EDATE($D$21,4),"")</f>
        <v>46442</v>
      </c>
      <c r="E23" s="170">
        <f>IF($G$5="PA1 - Thanh toán chuẩn",CSBH!$C$16,"")</f>
        <v>0.1</v>
      </c>
      <c r="F23" s="231">
        <f>IF(E23="","",MAX(MAX($G$17-IF($C$6="OP2 - KH mua đất + xây dựng",INDEX('Bảng giá'!$X$6:$X$41,MATCH($C$5,'Bảng giá'!$D$6:$D$41,0)),0),0)*E23,0))</f>
        <v>911999999.96975029</v>
      </c>
      <c r="G23" s="230"/>
      <c r="H23" s="167"/>
    </row>
    <row r="24" spans="1:9">
      <c r="A24" s="166" t="str">
        <f>IF($G$5="PA1 - Thanh toán chuẩn",CSBH!$A$17,"")</f>
        <v>Đợt 4</v>
      </c>
      <c r="B24" s="230" t="str">
        <f>IF($G$5="PA1 - Thanh toán chuẩn",CSBH!$B$17,"")</f>
        <v>Trong vòng 6 tháng kể từ ngày ký HĐ đặt cọc</v>
      </c>
      <c r="C24" s="230"/>
      <c r="D24" s="168">
        <f ca="1">IF($G$5="PA1 - Thanh toán chuẩn",EDATE($D$21,6),"")</f>
        <v>46501</v>
      </c>
      <c r="E24" s="170">
        <f>IF($G$5="PA1 - Thanh toán chuẩn",CSBH!$C$17,"")</f>
        <v>0.1</v>
      </c>
      <c r="F24" s="231">
        <f>IF(E24="","",MAX(MAX($G$17-IF($C$6="OP2 - KH mua đất + xây dựng",INDEX('Bảng giá'!$X$6:$X$41,MATCH($C$5,'Bảng giá'!$D$6:$D$41,0)),0),0)*E24,0))</f>
        <v>911999999.96975029</v>
      </c>
      <c r="G24" s="230"/>
      <c r="H24" s="167"/>
    </row>
    <row r="25" spans="1:9">
      <c r="A25" s="166" t="str">
        <f>IF($G$5="PA1 - Thanh toán chuẩn",CSBH!$A$18,"")</f>
        <v>Đợt 5</v>
      </c>
      <c r="B25" s="230" t="str">
        <f>IF($G$5="PA1 - Thanh toán chuẩn",CSBH!$B$18,"")</f>
        <v>Trong vòng 8 tháng kể từ ngày ký HĐ đặt cọc</v>
      </c>
      <c r="C25" s="230"/>
      <c r="D25" s="168">
        <f ca="1">IF($G$5="PA1 - Thanh toán chuẩn",EDATE($D$21,8),"")</f>
        <v>46562</v>
      </c>
      <c r="E25" s="170">
        <f>IF($G$5="PA1 - Thanh toán chuẩn",CSBH!$C$18,"")</f>
        <v>0.1</v>
      </c>
      <c r="F25" s="231">
        <f>IF(E25="","",MAX(MAX($G$17-IF($C$6="OP2 - KH mua đất + xây dựng",INDEX('Bảng giá'!$X$6:$X$41,MATCH($C$5,'Bảng giá'!$D$6:$D$41,0)),0),0)*E25,0))</f>
        <v>911999999.96975029</v>
      </c>
      <c r="G25" s="230"/>
      <c r="H25" s="167"/>
    </row>
    <row r="26" spans="1:9">
      <c r="A26" s="173" t="str">
        <f>IF($G$5="PA1 - Thanh toán chuẩn",CSBH!$A$19,"")</f>
        <v>Đợt cuối</v>
      </c>
      <c r="B26" s="237" t="str">
        <f>IF($G$5="PA1 - Thanh toán chuẩn",CSBH!$B$19,"")</f>
        <v>Trong vòng 12 tháng kể từ ngày ký HĐ đặt cọc</v>
      </c>
      <c r="C26" s="237"/>
      <c r="D26" s="175">
        <f ca="1">IF($G$5="PA1 - Thanh toán chuẩn",EDATE($D$21,12),"")</f>
        <v>46684</v>
      </c>
      <c r="E26" s="176">
        <f>IF($G$5="PA1 - Thanh toán chuẩn",CSBH!$C$19,"")</f>
        <v>0.4</v>
      </c>
      <c r="F26" s="238">
        <f>IF(E26="","",MAX(MAX($G$17-IF($C$6="OP2 - KH mua đất + xây dựng",INDEX('Bảng giá'!$X$6:$X$41,MATCH($C$5,'Bảng giá'!$D$6:$D$41,0)),0),0)*E26,0))</f>
        <v>3647999999.8790011</v>
      </c>
      <c r="G26" s="237"/>
      <c r="H26" s="174" t="str">
        <f>IF($G$5="PA1 - Thanh toán chuẩn",[1]CSBH!$D$20,"")</f>
        <v>Ký HĐ chuyển nhượng QSDĐ</v>
      </c>
    </row>
    <row r="27" spans="1:9" ht="15" customHeight="1">
      <c r="A27" s="241" t="s">
        <v>270</v>
      </c>
      <c r="B27" s="241"/>
      <c r="C27" s="241"/>
      <c r="D27" s="241"/>
      <c r="E27" s="241">
        <f>SUM(E21:E26)</f>
        <v>1</v>
      </c>
      <c r="F27" s="239">
        <f>SUM(F20:F26)</f>
        <v>9119999999.6975021</v>
      </c>
      <c r="G27" s="240"/>
      <c r="H27" s="161" t="s">
        <v>271</v>
      </c>
    </row>
    <row r="28" spans="1:9">
      <c r="A28" s="172"/>
      <c r="B28" s="172"/>
      <c r="C28" s="172"/>
      <c r="D28" s="172"/>
      <c r="E28" s="172"/>
      <c r="F28" s="172"/>
      <c r="G28" s="172"/>
      <c r="H28" s="172"/>
    </row>
    <row r="29" spans="1:9">
      <c r="A29" s="232" t="s">
        <v>287</v>
      </c>
      <c r="B29" s="232"/>
      <c r="C29" s="232"/>
      <c r="D29" s="232"/>
      <c r="E29" s="232"/>
      <c r="F29" s="232"/>
      <c r="G29" s="232"/>
      <c r="H29" s="232"/>
    </row>
    <row r="30" spans="1:9">
      <c r="A30" s="156" t="s">
        <v>265</v>
      </c>
      <c r="B30" s="233" t="s">
        <v>283</v>
      </c>
      <c r="C30" s="233"/>
      <c r="D30" s="156" t="s">
        <v>267</v>
      </c>
      <c r="E30" s="156" t="s">
        <v>284</v>
      </c>
      <c r="F30" s="233" t="s">
        <v>269</v>
      </c>
      <c r="G30" s="233"/>
      <c r="H30" s="156" t="s">
        <v>113</v>
      </c>
    </row>
    <row r="31" spans="1:9">
      <c r="A31" s="157" t="str">
        <f>IF(AND(ISNUMBER(SEARCH("OP2",$C$6)),OR($C$10="Điền An",$C$10="Biệt phủ")),"Đợt 1","")</f>
        <v>Đợt 1</v>
      </c>
      <c r="B31" s="234" t="str">
        <f>IF(AND(ISNUMBER(SEARCH("OP2",$C$6)),OR($C$10="Điền An",$C$10="Biệt phủ")),"Ký HĐXD - Thanh toán giá trị xây dựng","")</f>
        <v>Ký HĐXD - Thanh toán giá trị xây dựng</v>
      </c>
      <c r="C31" s="234"/>
      <c r="D31" s="159">
        <f ca="1">IF(AND(ISNUMBER(SEARCH("OP2",$C$6)),OR($C$10="Điền An",$C$10="Biệt phủ")),EDATE($D$21,6),"")</f>
        <v>46501</v>
      </c>
      <c r="E31" s="160">
        <f>IF(AND(ISNUMBER(SEARCH("OP2",$C$6)),OR($C$10="Điền An",$C$10="Biệt phủ")),30%,"")</f>
        <v>0.3</v>
      </c>
      <c r="F31" s="235">
        <f>IF(AND(ISNUMBER(SEARCH("OP2",$C$6)),OR($C$10="Điền An",$C$10="Biệt phủ")),IFERROR(INDEX('Bảng giá'!$X$6:$X$41,MATCH($C$5,'Bảng giá'!$D$6:$D$41,0))*E31,0),"")</f>
        <v>2244000000</v>
      </c>
      <c r="G31" s="236"/>
      <c r="H31" s="158"/>
    </row>
    <row r="32" spans="1:9">
      <c r="A32" s="157" t="str">
        <f>IF(AND(ISNUMBER(SEARCH("OP2",$C$6)),OR($C$10="Điền An",$C$10="Biệt phủ")),"Đợt 2","")</f>
        <v>Đợt 2</v>
      </c>
      <c r="B32" s="234" t="str">
        <f>IF(AND(ISNUMBER(SEARCH("OP2",$C$6)),OR($C$10="Điền An",$C$10="Biệt phủ")),"Hoàn thành móng","")</f>
        <v>Hoàn thành móng</v>
      </c>
      <c r="C32" s="234"/>
      <c r="D32" s="159">
        <f ca="1">IF(D31="","",D31+60)</f>
        <v>46561</v>
      </c>
      <c r="E32" s="160">
        <f>IF(AND(ISNUMBER(SEARCH("OP2",$C$6)),OR($C$10="Điền An",$C$10="Biệt phủ")),15%,"")</f>
        <v>0.15</v>
      </c>
      <c r="F32" s="235">
        <f>IF(AND(ISNUMBER(SEARCH("OP2",$C$6)),OR($C$10="Điền An",$C$10="Biệt phủ")),IFERROR(INDEX('Bảng giá'!$X$6:$X$41,MATCH($C$5,'Bảng giá'!$D$6:$D$41,0))*E32,0),"")</f>
        <v>1122000000</v>
      </c>
      <c r="G32" s="236"/>
      <c r="H32" s="158"/>
    </row>
    <row r="33" spans="1:8">
      <c r="A33" s="157" t="str">
        <f>IF(AND(ISNUMBER(SEARCH("OP2",$C$6)),OR($C$10="Điền An",$C$10="Biệt phủ")),"Đợt 3","")</f>
        <v>Đợt 3</v>
      </c>
      <c r="B33" s="234" t="str">
        <f>IF(AND(ISNUMBER(SEARCH("OP2",$C$6)),OR($C$10="Điền An",$C$10="Biệt phủ")),"Hoàn thiện phần thô","")</f>
        <v>Hoàn thiện phần thô</v>
      </c>
      <c r="C33" s="234"/>
      <c r="D33" s="159">
        <f ca="1">IF(D32="","",D32+60)</f>
        <v>46621</v>
      </c>
      <c r="E33" s="160">
        <f>IF(AND(ISNUMBER(SEARCH("OP2",$C$6)),OR($C$10="Điền An",$C$10="Biệt phủ")),20%,"")</f>
        <v>0.2</v>
      </c>
      <c r="F33" s="235">
        <f>IF(AND(ISNUMBER(SEARCH("OP2",$C$6)),OR($C$10="Điền An",$C$10="Biệt phủ")),IFERROR(INDEX('Bảng giá'!$X$6:$X$41,MATCH($C$5,'Bảng giá'!$D$6:$D$41,0))*E33,0),"")</f>
        <v>1496000000.0000002</v>
      </c>
      <c r="G33" s="236"/>
      <c r="H33" s="158"/>
    </row>
    <row r="34" spans="1:8">
      <c r="A34" s="157" t="str">
        <f>IF(AND(ISNUMBER(SEARCH("OP2",$C$6)),OR($C$10="Điền An",$C$10="Biệt phủ")),"Đợt 4","")</f>
        <v>Đợt 4</v>
      </c>
      <c r="B34" s="234" t="str">
        <f>IF(AND(ISNUMBER(SEARCH("OP2",$C$6)),OR($C$10="Điền An",$C$10="Biệt phủ")),"Hoàn thiện mặt ngoài","")</f>
        <v>Hoàn thiện mặt ngoài</v>
      </c>
      <c r="C34" s="234"/>
      <c r="D34" s="159">
        <f ca="1">IF(D33="","",D33+60)</f>
        <v>46681</v>
      </c>
      <c r="E34" s="160">
        <f>IF(AND(ISNUMBER(SEARCH("OP2",$C$6)),OR($C$10="Điền An",$C$10="Biệt phủ")),20%,"")</f>
        <v>0.2</v>
      </c>
      <c r="F34" s="235">
        <f>IF(AND(ISNUMBER(SEARCH("OP2",$C$6)),OR($C$10="Điền An",$C$10="Biệt phủ")),IFERROR(INDEX('Bảng giá'!$X$6:$X$41,MATCH($C$5,'Bảng giá'!$D$6:$D$41,0))*E34,0),"")</f>
        <v>1496000000.0000002</v>
      </c>
      <c r="G34" s="236"/>
      <c r="H34" s="158"/>
    </row>
    <row r="35" spans="1:8" ht="13.9" customHeight="1">
      <c r="A35" s="157" t="str">
        <f>IF(AND(ISNUMBER(SEARCH("OP2",$C$6)),OR($C$10="Điền An",$C$10="Biệt phủ")),"Đợt 5","")</f>
        <v>Đợt 5</v>
      </c>
      <c r="B35" s="234" t="str">
        <f>IF(AND(ISNUMBER(SEARCH("OP2",$C$6)),OR($C$10="Điền An",$C$10="Biệt phủ")),"Bàn giao theo thông báo của CĐT","")</f>
        <v>Bàn giao theo thông báo của CĐT</v>
      </c>
      <c r="C35" s="234"/>
      <c r="D35" s="159">
        <f ca="1">IF(D34="","",D34+60)</f>
        <v>46741</v>
      </c>
      <c r="E35" s="160">
        <f>IF(AND(ISNUMBER(SEARCH("OP2",$C$6)),OR($C$10="Điền An",$C$10="Biệt phủ")),15%,"")</f>
        <v>0.15</v>
      </c>
      <c r="F35" s="235">
        <f>IF(AND(ISNUMBER(SEARCH("OP2",$C$6)),OR($C$10="Điền An",$C$10="Biệt phủ")),IFERROR(INDEX('Bảng giá'!$X$6:$X$41,MATCH($C$5,'Bảng giá'!$D$6:$D$41,0))*E35,0),"")</f>
        <v>1122000000</v>
      </c>
      <c r="G35" s="236"/>
      <c r="H35" s="158"/>
    </row>
    <row r="36" spans="1:8" ht="16.5" customHeight="1">
      <c r="A36" s="241" t="s">
        <v>291</v>
      </c>
      <c r="B36" s="241"/>
      <c r="C36" s="241"/>
      <c r="D36" s="241"/>
      <c r="E36" s="241"/>
      <c r="F36" s="239">
        <f>SUM(F31:F35)</f>
        <v>7480000000</v>
      </c>
      <c r="G36" s="240"/>
      <c r="H36" s="161" t="s">
        <v>294</v>
      </c>
    </row>
    <row r="37" spans="1:8" ht="18.75" customHeight="1">
      <c r="A37" s="242" t="s">
        <v>285</v>
      </c>
      <c r="B37" s="242"/>
      <c r="C37" s="242"/>
      <c r="D37" s="242"/>
      <c r="E37" s="242"/>
      <c r="F37" s="243">
        <f>F36+F27</f>
        <v>16599999999.697502</v>
      </c>
      <c r="G37" s="244"/>
      <c r="H37" s="162" t="s">
        <v>290</v>
      </c>
    </row>
    <row r="38" spans="1:8">
      <c r="A38" s="172"/>
      <c r="B38" s="172"/>
      <c r="C38" s="172"/>
      <c r="D38" s="172"/>
      <c r="E38" s="172"/>
      <c r="F38" s="172"/>
      <c r="G38" s="172"/>
      <c r="H38" s="172"/>
    </row>
    <row r="39" spans="1:8" ht="22.15" customHeight="1">
      <c r="A39" s="255" t="s">
        <v>300</v>
      </c>
      <c r="B39" s="255"/>
      <c r="C39" s="255"/>
      <c r="D39" s="255"/>
      <c r="E39" s="255"/>
      <c r="F39" s="255"/>
      <c r="G39" s="255"/>
      <c r="H39" s="255"/>
    </row>
    <row r="40" spans="1:8" ht="67.5" customHeight="1">
      <c r="A40" s="246" t="s">
        <v>302</v>
      </c>
      <c r="B40" s="246"/>
      <c r="C40" s="246"/>
      <c r="D40" s="247" t="s">
        <v>297</v>
      </c>
      <c r="E40" s="248"/>
      <c r="F40" s="249" t="s">
        <v>298</v>
      </c>
      <c r="G40" s="250"/>
      <c r="H40" s="250"/>
    </row>
    <row r="41" spans="1:8" ht="78" customHeight="1">
      <c r="A41" s="251" t="s">
        <v>295</v>
      </c>
      <c r="B41" s="251"/>
      <c r="C41" s="251"/>
      <c r="D41" s="252" t="s">
        <v>296</v>
      </c>
      <c r="E41" s="252"/>
      <c r="F41" s="253" t="s">
        <v>299</v>
      </c>
      <c r="G41" s="254"/>
      <c r="H41" s="254"/>
    </row>
    <row r="42" spans="1:8" ht="22.15" customHeight="1">
      <c r="A42" s="255" t="s">
        <v>305</v>
      </c>
      <c r="B42" s="255"/>
      <c r="C42" s="255"/>
      <c r="D42" s="255"/>
      <c r="E42" s="255"/>
      <c r="F42" s="255"/>
      <c r="G42" s="255"/>
      <c r="H42" s="255"/>
    </row>
    <row r="43" spans="1:8" ht="63.75" customHeight="1">
      <c r="A43" s="246" t="s">
        <v>306</v>
      </c>
      <c r="B43" s="246"/>
      <c r="C43" s="246"/>
      <c r="D43" s="247" t="s">
        <v>307</v>
      </c>
      <c r="E43" s="248"/>
      <c r="F43" s="256" t="s">
        <v>308</v>
      </c>
      <c r="G43" s="256"/>
      <c r="H43" s="256"/>
    </row>
    <row r="44" spans="1:8" ht="103.5" customHeight="1">
      <c r="A44" s="251" t="s">
        <v>309</v>
      </c>
      <c r="B44" s="251"/>
      <c r="C44" s="251"/>
      <c r="D44" s="247" t="s">
        <v>310</v>
      </c>
      <c r="E44" s="248"/>
      <c r="F44" s="254" t="s">
        <v>311</v>
      </c>
      <c r="G44" s="254"/>
      <c r="H44" s="254"/>
    </row>
    <row r="45" spans="1:8" ht="17.25" customHeight="1">
      <c r="A45" s="255" t="s">
        <v>430</v>
      </c>
      <c r="B45" s="255"/>
      <c r="C45" s="255"/>
      <c r="D45" s="255"/>
      <c r="E45" s="255"/>
      <c r="F45" s="255"/>
      <c r="G45" s="255"/>
      <c r="H45" s="255"/>
    </row>
    <row r="46" spans="1:8" ht="90" customHeight="1">
      <c r="A46" s="246" t="s">
        <v>312</v>
      </c>
      <c r="B46" s="246"/>
      <c r="C46" s="246"/>
      <c r="D46" s="247" t="s">
        <v>314</v>
      </c>
      <c r="E46" s="248"/>
      <c r="F46" s="256" t="s">
        <v>313</v>
      </c>
      <c r="G46" s="256"/>
      <c r="H46" s="256"/>
    </row>
    <row r="47" spans="1:8" ht="22.15" customHeight="1">
      <c r="A47" s="255" t="s">
        <v>315</v>
      </c>
      <c r="B47" s="255"/>
      <c r="C47" s="255"/>
      <c r="D47" s="255"/>
      <c r="E47" s="255"/>
      <c r="F47" s="255"/>
      <c r="G47" s="255"/>
      <c r="H47" s="255"/>
    </row>
    <row r="48" spans="1:8" ht="19.149999999999999" customHeight="1">
      <c r="A48" s="260" t="s">
        <v>272</v>
      </c>
      <c r="B48" s="260"/>
      <c r="C48" s="260"/>
      <c r="D48" s="260"/>
      <c r="E48" s="260"/>
      <c r="F48" s="260"/>
      <c r="G48" s="260"/>
      <c r="H48" s="260"/>
    </row>
    <row r="49" spans="1:8">
      <c r="A49" s="155"/>
      <c r="B49" s="155"/>
      <c r="C49" s="155"/>
      <c r="D49" s="155"/>
      <c r="E49" s="155"/>
      <c r="F49" s="155"/>
      <c r="G49" s="155"/>
      <c r="H49" s="155"/>
    </row>
    <row r="50" spans="1:8" ht="22.15" customHeight="1">
      <c r="A50" s="245" t="s">
        <v>273</v>
      </c>
      <c r="B50" s="245"/>
      <c r="C50" s="245" t="s">
        <v>274</v>
      </c>
      <c r="D50" s="245"/>
      <c r="E50" s="245" t="s">
        <v>253</v>
      </c>
      <c r="F50" s="245"/>
      <c r="G50" s="245" t="s">
        <v>275</v>
      </c>
      <c r="H50" s="245"/>
    </row>
    <row r="51" spans="1:8" ht="22.15" customHeight="1">
      <c r="A51" s="257" t="s">
        <v>276</v>
      </c>
      <c r="B51" s="257"/>
      <c r="C51" s="257" t="s">
        <v>276</v>
      </c>
      <c r="D51" s="257"/>
      <c r="E51" s="257" t="s">
        <v>276</v>
      </c>
      <c r="F51" s="257"/>
      <c r="G51" s="257" t="s">
        <v>276</v>
      </c>
      <c r="H51" s="257"/>
    </row>
    <row r="52" spans="1:8">
      <c r="A52" s="155"/>
      <c r="B52" s="155"/>
      <c r="C52" s="155"/>
      <c r="D52" s="155"/>
      <c r="E52" s="155"/>
      <c r="F52" s="155"/>
      <c r="G52" s="155"/>
      <c r="H52" s="155"/>
    </row>
    <row r="53" spans="1:8">
      <c r="A53" s="155"/>
      <c r="B53" s="155"/>
      <c r="C53" s="155"/>
      <c r="D53" s="155"/>
      <c r="E53" s="155"/>
      <c r="F53" s="155"/>
      <c r="G53" s="155"/>
      <c r="H53" s="155"/>
    </row>
  </sheetData>
  <mergeCells count="111">
    <mergeCell ref="A51:B51"/>
    <mergeCell ref="C51:D51"/>
    <mergeCell ref="E51:F51"/>
    <mergeCell ref="G51:H51"/>
    <mergeCell ref="A11:B11"/>
    <mergeCell ref="A12:B12"/>
    <mergeCell ref="C12:D12"/>
    <mergeCell ref="E11:F11"/>
    <mergeCell ref="G11:H11"/>
    <mergeCell ref="E12:F12"/>
    <mergeCell ref="A45:H45"/>
    <mergeCell ref="A47:H47"/>
    <mergeCell ref="A48:H48"/>
    <mergeCell ref="A50:B50"/>
    <mergeCell ref="C50:D50"/>
    <mergeCell ref="A15:B15"/>
    <mergeCell ref="C15:D15"/>
    <mergeCell ref="G12:H12"/>
    <mergeCell ref="A13:B13"/>
    <mergeCell ref="A14:B14"/>
    <mergeCell ref="C13:D13"/>
    <mergeCell ref="C14:D14"/>
    <mergeCell ref="A46:C46"/>
    <mergeCell ref="E50:F50"/>
    <mergeCell ref="G50:H50"/>
    <mergeCell ref="A40:C40"/>
    <mergeCell ref="D40:E40"/>
    <mergeCell ref="F40:H40"/>
    <mergeCell ref="A41:C41"/>
    <mergeCell ref="D41:E41"/>
    <mergeCell ref="F41:H41"/>
    <mergeCell ref="A39:H39"/>
    <mergeCell ref="D46:E46"/>
    <mergeCell ref="F46:H46"/>
    <mergeCell ref="A43:C43"/>
    <mergeCell ref="D43:E43"/>
    <mergeCell ref="F43:H43"/>
    <mergeCell ref="A44:C44"/>
    <mergeCell ref="D44:E44"/>
    <mergeCell ref="F44:H44"/>
    <mergeCell ref="A42:H42"/>
    <mergeCell ref="B33:C33"/>
    <mergeCell ref="F33:G33"/>
    <mergeCell ref="B34:C34"/>
    <mergeCell ref="F34:G34"/>
    <mergeCell ref="B35:C35"/>
    <mergeCell ref="F35:G35"/>
    <mergeCell ref="A36:E36"/>
    <mergeCell ref="F36:G36"/>
    <mergeCell ref="A37:E37"/>
    <mergeCell ref="F37:G37"/>
    <mergeCell ref="B20:C20"/>
    <mergeCell ref="F20:G20"/>
    <mergeCell ref="B21:C21"/>
    <mergeCell ref="F21:G21"/>
    <mergeCell ref="B22:C22"/>
    <mergeCell ref="F22:G22"/>
    <mergeCell ref="B23:C23"/>
    <mergeCell ref="F23:G23"/>
    <mergeCell ref="B24:C24"/>
    <mergeCell ref="F24:G24"/>
    <mergeCell ref="B25:C25"/>
    <mergeCell ref="F25:G25"/>
    <mergeCell ref="A29:H29"/>
    <mergeCell ref="B30:C30"/>
    <mergeCell ref="F30:G30"/>
    <mergeCell ref="B31:C31"/>
    <mergeCell ref="F31:G31"/>
    <mergeCell ref="B32:C32"/>
    <mergeCell ref="F32:G32"/>
    <mergeCell ref="B26:C26"/>
    <mergeCell ref="F26:G26"/>
    <mergeCell ref="F27:G27"/>
    <mergeCell ref="A27:E27"/>
    <mergeCell ref="B19:C19"/>
    <mergeCell ref="F19:G19"/>
    <mergeCell ref="A9:B9"/>
    <mergeCell ref="C9:D9"/>
    <mergeCell ref="E9:F9"/>
    <mergeCell ref="G9:H9"/>
    <mergeCell ref="A10:B10"/>
    <mergeCell ref="C11:D11"/>
    <mergeCell ref="E10:F10"/>
    <mergeCell ref="G10:H10"/>
    <mergeCell ref="C10:D10"/>
    <mergeCell ref="A16:F16"/>
    <mergeCell ref="G16:H16"/>
    <mergeCell ref="A17:F17"/>
    <mergeCell ref="G17:H17"/>
    <mergeCell ref="A18:H18"/>
    <mergeCell ref="A1:H1"/>
    <mergeCell ref="A2:H2"/>
    <mergeCell ref="A3:B3"/>
    <mergeCell ref="C3:D3"/>
    <mergeCell ref="E3:F3"/>
    <mergeCell ref="G3:H3"/>
    <mergeCell ref="A8:D8"/>
    <mergeCell ref="E8:H8"/>
    <mergeCell ref="A4:B4"/>
    <mergeCell ref="C4:D4"/>
    <mergeCell ref="E4:F4"/>
    <mergeCell ref="G4:H4"/>
    <mergeCell ref="A5:B5"/>
    <mergeCell ref="C5:D5"/>
    <mergeCell ref="E5:F5"/>
    <mergeCell ref="G5:H5"/>
    <mergeCell ref="A6:B6"/>
    <mergeCell ref="C6:D6"/>
    <mergeCell ref="E6:F6"/>
    <mergeCell ref="G6:H6"/>
    <mergeCell ref="A7:H7"/>
  </mergeCells>
  <dataValidations count="4">
    <dataValidation type="list" sqref="C6:D6" xr:uid="{AD2A1723-8E94-45A7-9F3A-F2248A01CEC3}">
      <formula1>"OP1 - KH mua đất,OP2 - KH mua đất + xây dựng"</formula1>
    </dataValidation>
    <dataValidation type="list" sqref="G6" xr:uid="{429D6872-9774-4BF5-A268-C29B16E5D2CD}">
      <formula1>"Quy đổi giảm giá,Hoàn thiện nội thất"</formula1>
    </dataValidation>
    <dataValidation type="list" sqref="C5:D5" xr:uid="{C827482B-2D52-4C4C-BB1F-32DF570BCD98}">
      <formula1>"A.4,A.6,A.8,A.9,A.11,A.12,A.13,A.14,A.15,A.16,A.17,A.18,A.19,A.20,A.21,A.22,A.23,A.24,B.4,B.5,B.6,B.7,B.8,B.9,B.10,B.12,B.13,B.14,B.15,B.17,B.18,B.19,B.20,B.22,B.23,B.24"</formula1>
    </dataValidation>
    <dataValidation type="list" sqref="G5:H5" xr:uid="{4D07AD05-5446-446E-BB0A-94C20D906FA4}">
      <formula1>"PA1 - Thanh toán chuẩn,PA2 - Thanh toán ưu việt 50%,PA3 - Thanh toán ưu việt 70%,PA4 - Thanh toán ưu việt 100%"</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Tài liệu" ma:contentTypeID="0x0101006AFD08E0E770ED4FBE177A5FD45CAC70" ma:contentTypeVersion="16" ma:contentTypeDescription="Tạo tài liệu mới." ma:contentTypeScope="" ma:versionID="97837e4e367231e39d9406b15eccfac9">
  <xsd:schema xmlns:xsd="http://www.w3.org/2001/XMLSchema" xmlns:xs="http://www.w3.org/2001/XMLSchema" xmlns:p="http://schemas.microsoft.com/office/2006/metadata/properties" xmlns:ns2="db0f0724-b952-48d7-ab22-ac57ce3b6cf3" xmlns:ns3="f33998a6-05db-48a5-ac0a-b6ce7bd6cda0" targetNamespace="http://schemas.microsoft.com/office/2006/metadata/properties" ma:root="true" ma:fieldsID="402637f819ee0fe99d6936a0f5413561" ns2:_="" ns3:_="">
    <xsd:import namespace="db0f0724-b952-48d7-ab22-ac57ce3b6cf3"/>
    <xsd:import namespace="f33998a6-05db-48a5-ac0a-b6ce7bd6cda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LengthInSeconds" minOccurs="0"/>
                <xsd:element ref="ns3:MediaServiceObjectDetectorVersions" minOccurs="0"/>
                <xsd:element ref="ns3:MediaServiceSearchProperties"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f0724-b952-48d7-ab22-ac57ce3b6cf3" elementFormDefault="qualified">
    <xsd:import namespace="http://schemas.microsoft.com/office/2006/documentManagement/types"/>
    <xsd:import namespace="http://schemas.microsoft.com/office/infopath/2007/PartnerControls"/>
    <xsd:element name="SharedWithUsers" ma:index="8" nillable="true" ma:displayName="Chia sẻ Với"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Chia sẻ Có Chi tiết" ma:internalName="SharedWithDetails" ma:readOnly="true">
      <xsd:simpleType>
        <xsd:restriction base="dms:Note">
          <xsd:maxLength value="255"/>
        </xsd:restriction>
      </xsd:simpleType>
    </xsd:element>
    <xsd:element name="TaxCatchAll" ma:index="14" nillable="true" ma:displayName="Taxonomy Catch All Column" ma:hidden="true" ma:list="{aca01bb0-18c7-49a7-be3e-cab0d172beb8}" ma:internalName="TaxCatchAll" ma:showField="CatchAllData" ma:web="db0f0724-b952-48d7-ab22-ac57ce3b6c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33998a6-05db-48a5-ac0a-b6ce7bd6cda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Thẻ Hình ảnh" ma:readOnly="false" ma:fieldId="{5cf76f15-5ced-4ddc-b409-7134ff3c332f}" ma:taxonomyMulti="true" ma:sspId="90c98400-acbd-4bd3-8371-0666c2b713db"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Loại Nội dung"/>
        <xsd:element ref="dc:title" minOccurs="0" maxOccurs="1" ma:index="4" ma:displayName="Tiêu đ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b0f0724-b952-48d7-ab22-ac57ce3b6cf3" xsi:nil="true"/>
    <lcf76f155ced4ddcb4097134ff3c332f xmlns="f33998a6-05db-48a5-ac0a-b6ce7bd6cda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28AE456-46D2-41E9-96E3-14AC2F739D12}">
  <ds:schemaRefs>
    <ds:schemaRef ds:uri="http://schemas.microsoft.com/sharepoint/v3/contenttype/forms"/>
  </ds:schemaRefs>
</ds:datastoreItem>
</file>

<file path=customXml/itemProps2.xml><?xml version="1.0" encoding="utf-8"?>
<ds:datastoreItem xmlns:ds="http://schemas.openxmlformats.org/officeDocument/2006/customXml" ds:itemID="{2FB78E80-8990-4909-9529-791538D4B4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f0724-b952-48d7-ab22-ac57ce3b6cf3"/>
    <ds:schemaRef ds:uri="f33998a6-05db-48a5-ac0a-b6ce7bd6cd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52C82E0-36CF-455C-91E5-704DE89BE102}">
  <ds:schemaRefs>
    <ds:schemaRef ds:uri="http://schemas.microsoft.com/office/2006/metadata/properties"/>
    <ds:schemaRef ds:uri="http://schemas.microsoft.com/office/infopath/2007/PartnerControls"/>
    <ds:schemaRef ds:uri="db0f0724-b952-48d7-ab22-ac57ce3b6cf3"/>
    <ds:schemaRef ds:uri="f33998a6-05db-48a5-ac0a-b6ce7bd6cda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Trang tính</vt:lpstr>
      </vt:variant>
      <vt:variant>
        <vt:i4>5</vt:i4>
      </vt:variant>
    </vt:vector>
  </HeadingPairs>
  <TitlesOfParts>
    <vt:vector size="5" baseType="lpstr">
      <vt:lpstr>Bảng giá</vt:lpstr>
      <vt:lpstr>CSBH</vt:lpstr>
      <vt:lpstr>NHẬP THÔNG TIN</vt:lpstr>
      <vt:lpstr>PHIẾU TÍNH GIÁ_CHỊ QUÝ</vt:lpstr>
      <vt:lpstr>PHIẾU TÍNH GIÁ</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Cuong KSHDQT</dc:creator>
  <cp:lastModifiedBy>Hoàng Thị Yển Quyên</cp:lastModifiedBy>
  <cp:lastPrinted>2024-10-08T06:44:20Z</cp:lastPrinted>
  <dcterms:created xsi:type="dcterms:W3CDTF">2024-10-08T06:34:24Z</dcterms:created>
  <dcterms:modified xsi:type="dcterms:W3CDTF">2026-10-14T15:39:15Z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0x0101006AFD08E0E770ED4FBE177A5FD45CAC70</vt:lpwstr>
  </property>
  <property fmtid="{D5CDD505-2E9C-101B-9397-08002B2CF9AE}" pid="3" name="MediaServiceImageTags">
    <vt:lpwstr/>
  </property>
</Properties>
</file>